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yuki\Desktop\python\pokemon\"/>
    </mc:Choice>
  </mc:AlternateContent>
  <bookViews>
    <workbookView xWindow="0" yWindow="0" windowWidth="20490" windowHeight="8685"/>
  </bookViews>
  <sheets>
    <sheet name="database" sheetId="3" r:id="rId1"/>
    <sheet name="S" sheetId="9" r:id="rId2"/>
    <sheet name="H" sheetId="17" r:id="rId3"/>
    <sheet name="M" sheetId="18" r:id="rId4"/>
    <sheet name="S_ana" sheetId="5" r:id="rId5"/>
    <sheet name="H_ana" sheetId="16" r:id="rId6"/>
    <sheet name="M_ana" sheetId="15" r:id="rId7"/>
    <sheet name="S相性表" sheetId="4" r:id="rId8"/>
    <sheet name="Hおすすめ" sheetId="8" r:id="rId9"/>
    <sheet name="皆" sheetId="1" r:id="rId10"/>
    <sheet name="経験値" sheetId="2" r:id="rId11"/>
  </sheets>
  <definedNames>
    <definedName name="_xlnm._FilterDatabase" localSheetId="0" hidden="1">S!$A$1:$D$31</definedName>
    <definedName name="_xlnm._FilterDatabase" localSheetId="2" hidden="1">H!$A$1:$E$50</definedName>
    <definedName name="_xlnm._FilterDatabase" localSheetId="5" hidden="1">H_ana!$B$1:$I$18</definedName>
    <definedName name="_xlnm._FilterDatabase" localSheetId="8" hidden="1">Hおすすめ!$B$2:$G$17</definedName>
    <definedName name="_xlnm._FilterDatabase" localSheetId="3" hidden="1">M!$A$1:$E$50</definedName>
    <definedName name="_xlnm._FilterDatabase" localSheetId="6" hidden="1">M_ana!$B$1:$E$18</definedName>
    <definedName name="_xlnm._FilterDatabase" localSheetId="1" hidden="1">S!$A$1:$E$50</definedName>
    <definedName name="_xlnm._FilterDatabase" localSheetId="4" hidden="1">S_ana!$B$1:$I$18</definedName>
  </definedNames>
  <calcPr calcId="152511" refMode="R1C1"/>
  <webPublishing allowPng="1" targetScreenSize="1024x768" codePage="6500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8" i="17" l="1"/>
  <c r="C108" i="17"/>
  <c r="B108" i="17"/>
  <c r="D107" i="17"/>
  <c r="C107" i="17"/>
  <c r="B107" i="17"/>
  <c r="D106" i="17"/>
  <c r="C106" i="17"/>
  <c r="B106" i="17"/>
  <c r="D105" i="17"/>
  <c r="C105" i="17"/>
  <c r="B105" i="17"/>
  <c r="D104" i="17"/>
  <c r="C104" i="17"/>
  <c r="B104" i="17"/>
  <c r="D103" i="17"/>
  <c r="C103" i="17"/>
  <c r="B103" i="17"/>
  <c r="D102" i="17"/>
  <c r="C102" i="17"/>
  <c r="B102" i="17"/>
  <c r="D101" i="17"/>
  <c r="C101" i="17"/>
  <c r="B101" i="17"/>
  <c r="D100" i="17"/>
  <c r="C100" i="17"/>
  <c r="B100" i="17"/>
  <c r="D99" i="17"/>
  <c r="C99" i="17"/>
  <c r="B99" i="17"/>
  <c r="D98" i="17"/>
  <c r="C98" i="17"/>
  <c r="B98" i="17"/>
  <c r="D97" i="17"/>
  <c r="C97" i="17"/>
  <c r="B97" i="17"/>
  <c r="D96" i="17"/>
  <c r="C96" i="17"/>
  <c r="B96" i="17"/>
  <c r="D95" i="17"/>
  <c r="C95" i="17"/>
  <c r="B95" i="17"/>
  <c r="D94" i="17"/>
  <c r="C94" i="17"/>
  <c r="B94" i="17"/>
  <c r="D93" i="17"/>
  <c r="C93" i="17"/>
  <c r="B93" i="17"/>
  <c r="D92" i="17"/>
  <c r="C92" i="17"/>
  <c r="B92" i="17"/>
  <c r="D91" i="17"/>
  <c r="C91" i="17"/>
  <c r="B91" i="17"/>
  <c r="D90" i="17"/>
  <c r="C90" i="17"/>
  <c r="B90" i="17"/>
  <c r="D89" i="17"/>
  <c r="C89" i="17"/>
  <c r="B89" i="17"/>
  <c r="D88" i="17"/>
  <c r="C88" i="17"/>
  <c r="B88" i="17"/>
  <c r="D87" i="17"/>
  <c r="C87" i="17"/>
  <c r="B87" i="17"/>
  <c r="D86" i="17"/>
  <c r="C86" i="17"/>
  <c r="B86" i="17"/>
  <c r="D85" i="17"/>
  <c r="C85" i="17"/>
  <c r="B85" i="17"/>
  <c r="D84" i="17"/>
  <c r="C84" i="17"/>
  <c r="B84" i="17"/>
  <c r="D83" i="17"/>
  <c r="C83" i="17"/>
  <c r="B83" i="17"/>
  <c r="D82" i="17"/>
  <c r="C82" i="17"/>
  <c r="B82" i="17"/>
  <c r="D81" i="17"/>
  <c r="C81" i="17"/>
  <c r="B81" i="17"/>
  <c r="D80" i="17"/>
  <c r="C80" i="17"/>
  <c r="B80" i="17"/>
  <c r="D79" i="17"/>
  <c r="C79" i="17"/>
  <c r="B79" i="17"/>
  <c r="D78" i="17"/>
  <c r="C78" i="17"/>
  <c r="B78" i="17"/>
  <c r="D77" i="17"/>
  <c r="C77" i="17"/>
  <c r="B77" i="17"/>
  <c r="D76" i="17"/>
  <c r="C76" i="17"/>
  <c r="B76" i="17"/>
  <c r="D75" i="17"/>
  <c r="C75" i="17"/>
  <c r="B75" i="17"/>
  <c r="D74" i="17"/>
  <c r="C74" i="17"/>
  <c r="B74" i="17"/>
  <c r="D73" i="17"/>
  <c r="C73" i="17"/>
  <c r="B73" i="17"/>
  <c r="D72" i="17"/>
  <c r="C72" i="17"/>
  <c r="B72" i="17"/>
  <c r="D71" i="17"/>
  <c r="C71" i="17"/>
  <c r="B71" i="17"/>
  <c r="D70" i="17"/>
  <c r="C70" i="17"/>
  <c r="B70" i="17"/>
  <c r="D69" i="17"/>
  <c r="C69" i="17"/>
  <c r="B69" i="17"/>
  <c r="D68" i="17"/>
  <c r="C68" i="17"/>
  <c r="B68" i="17"/>
  <c r="D67" i="17"/>
  <c r="C67" i="17"/>
  <c r="B67" i="17"/>
  <c r="D66" i="17"/>
  <c r="C66" i="17"/>
  <c r="B66" i="17"/>
  <c r="D65" i="17"/>
  <c r="C65" i="17"/>
  <c r="B65" i="17"/>
  <c r="D64" i="17"/>
  <c r="C64" i="17"/>
  <c r="B64" i="17"/>
  <c r="D63" i="17"/>
  <c r="C63" i="17"/>
  <c r="B63" i="17"/>
  <c r="D62" i="17"/>
  <c r="C62" i="17"/>
  <c r="B62" i="17"/>
  <c r="D61" i="17"/>
  <c r="C61" i="17"/>
  <c r="B61" i="17"/>
  <c r="D60" i="17"/>
  <c r="C60" i="17"/>
  <c r="B60" i="17"/>
  <c r="D59" i="17"/>
  <c r="C59" i="17"/>
  <c r="B59" i="17"/>
  <c r="D58" i="17"/>
  <c r="C58" i="17"/>
  <c r="B58" i="17"/>
  <c r="D57" i="17"/>
  <c r="C57" i="17"/>
  <c r="B57" i="17"/>
  <c r="D56" i="17"/>
  <c r="C56" i="17"/>
  <c r="B56" i="17"/>
  <c r="D55" i="17"/>
  <c r="C55" i="17"/>
  <c r="B55" i="17"/>
  <c r="D54" i="17"/>
  <c r="C54" i="17"/>
  <c r="B54" i="17"/>
  <c r="D53" i="17"/>
  <c r="C53" i="17"/>
  <c r="B53" i="17"/>
  <c r="D52" i="17"/>
  <c r="C52" i="17"/>
  <c r="B52" i="17"/>
  <c r="D51" i="17"/>
  <c r="C51" i="17"/>
  <c r="B51" i="17"/>
  <c r="D50" i="17"/>
  <c r="C50" i="17"/>
  <c r="B50" i="17"/>
  <c r="D49" i="17"/>
  <c r="C49" i="17"/>
  <c r="B49" i="17"/>
  <c r="D48" i="17"/>
  <c r="C48" i="17"/>
  <c r="B48" i="17"/>
  <c r="D47" i="17"/>
  <c r="C47" i="17"/>
  <c r="B47" i="17"/>
  <c r="D46" i="17"/>
  <c r="C46" i="17"/>
  <c r="B46" i="17"/>
  <c r="D45" i="17"/>
  <c r="C45" i="17"/>
  <c r="B45" i="17"/>
  <c r="D44" i="17"/>
  <c r="C44" i="17"/>
  <c r="B44" i="17"/>
  <c r="D43" i="17"/>
  <c r="C43" i="17"/>
  <c r="B43" i="17"/>
  <c r="D41" i="17"/>
  <c r="C41" i="17"/>
  <c r="B41" i="17"/>
  <c r="D40" i="17"/>
  <c r="C40" i="17"/>
  <c r="B40" i="17"/>
  <c r="D42" i="17"/>
  <c r="C42" i="17"/>
  <c r="B42" i="17"/>
  <c r="D39" i="17"/>
  <c r="C39" i="17"/>
  <c r="B39" i="17"/>
  <c r="D38" i="17"/>
  <c r="C38" i="17"/>
  <c r="B38" i="17"/>
  <c r="D37" i="17"/>
  <c r="C37" i="17"/>
  <c r="B37" i="17"/>
  <c r="D36" i="17"/>
  <c r="C36" i="17"/>
  <c r="B36" i="17"/>
  <c r="D21" i="17"/>
  <c r="C21" i="17"/>
  <c r="B21" i="17"/>
  <c r="D35" i="17"/>
  <c r="C35" i="17"/>
  <c r="B35" i="17"/>
  <c r="D34" i="17"/>
  <c r="C34" i="17"/>
  <c r="B34" i="17"/>
  <c r="D9" i="17"/>
  <c r="C9" i="17"/>
  <c r="B9" i="17"/>
  <c r="D15" i="17"/>
  <c r="C15" i="17"/>
  <c r="B15" i="17"/>
  <c r="D20" i="17"/>
  <c r="C20" i="17"/>
  <c r="B20" i="17"/>
  <c r="D13" i="17"/>
  <c r="C13" i="17"/>
  <c r="B13" i="17"/>
  <c r="D16" i="17"/>
  <c r="C16" i="17"/>
  <c r="B16" i="17"/>
  <c r="D10" i="17"/>
  <c r="C10" i="17"/>
  <c r="B10" i="17"/>
  <c r="D33" i="17"/>
  <c r="C33" i="17"/>
  <c r="B33" i="17"/>
  <c r="D14" i="17"/>
  <c r="C14" i="17"/>
  <c r="B14" i="17"/>
  <c r="D23" i="17"/>
  <c r="C23" i="17"/>
  <c r="B23" i="17"/>
  <c r="D24" i="17"/>
  <c r="C24" i="17"/>
  <c r="B24" i="17"/>
  <c r="D19" i="17"/>
  <c r="C19" i="17"/>
  <c r="B19" i="17"/>
  <c r="D12" i="17"/>
  <c r="C12" i="17"/>
  <c r="B12" i="17"/>
  <c r="D4" i="17"/>
  <c r="C4" i="17"/>
  <c r="B4" i="17"/>
  <c r="D32" i="17"/>
  <c r="C32" i="17"/>
  <c r="B32" i="17"/>
  <c r="D31" i="17"/>
  <c r="C31" i="17"/>
  <c r="B31" i="17"/>
  <c r="D7" i="17"/>
  <c r="C7" i="17"/>
  <c r="B7" i="17"/>
  <c r="D8" i="17"/>
  <c r="C8" i="17"/>
  <c r="B8" i="17"/>
  <c r="D30" i="17"/>
  <c r="C30" i="17"/>
  <c r="B30" i="17"/>
  <c r="D11" i="17"/>
  <c r="C11" i="17"/>
  <c r="B11" i="17"/>
  <c r="D2" i="17"/>
  <c r="C2" i="17"/>
  <c r="B2" i="17"/>
  <c r="D29" i="17"/>
  <c r="C29" i="17"/>
  <c r="B29" i="17"/>
  <c r="D18" i="17"/>
  <c r="C18" i="17"/>
  <c r="B18" i="17"/>
  <c r="D6" i="17"/>
  <c r="C6" i="17"/>
  <c r="B6" i="17"/>
  <c r="D5" i="17"/>
  <c r="C5" i="17"/>
  <c r="B5" i="17"/>
  <c r="D17" i="17"/>
  <c r="C17" i="17"/>
  <c r="B17" i="17"/>
  <c r="D28" i="17"/>
  <c r="C28" i="17"/>
  <c r="B28" i="17"/>
  <c r="D27" i="17"/>
  <c r="C27" i="17"/>
  <c r="B27" i="17"/>
  <c r="D3" i="17"/>
  <c r="C3" i="17"/>
  <c r="B3" i="17"/>
  <c r="D22" i="17"/>
  <c r="C22" i="17"/>
  <c r="B22" i="17"/>
  <c r="D25" i="17"/>
  <c r="C25" i="17"/>
  <c r="B25" i="17"/>
  <c r="D26" i="17"/>
  <c r="C26" i="17"/>
  <c r="B26" i="17"/>
  <c r="D2" i="9"/>
  <c r="C2" i="9"/>
  <c r="B3" i="9"/>
  <c r="C3" i="9"/>
  <c r="D3" i="9"/>
  <c r="B12" i="9"/>
  <c r="C12" i="9"/>
  <c r="D12" i="9"/>
  <c r="B34" i="9"/>
  <c r="C34" i="9"/>
  <c r="D34" i="9"/>
  <c r="B35" i="9"/>
  <c r="C35" i="9"/>
  <c r="D35" i="9"/>
  <c r="B5" i="9"/>
  <c r="C5" i="9"/>
  <c r="D5" i="9"/>
  <c r="B30" i="9"/>
  <c r="C30" i="9"/>
  <c r="D30" i="9"/>
  <c r="B21" i="9"/>
  <c r="C21" i="9"/>
  <c r="D21" i="9"/>
  <c r="B17" i="9"/>
  <c r="C17" i="9"/>
  <c r="D17" i="9"/>
  <c r="B36" i="9"/>
  <c r="C36" i="9"/>
  <c r="D36" i="9"/>
  <c r="B22" i="9"/>
  <c r="C22" i="9"/>
  <c r="D22" i="9"/>
  <c r="B37" i="9"/>
  <c r="C37" i="9"/>
  <c r="D37" i="9"/>
  <c r="B38" i="9"/>
  <c r="C38" i="9"/>
  <c r="D38" i="9"/>
  <c r="B23" i="9"/>
  <c r="C23" i="9"/>
  <c r="D23" i="9"/>
  <c r="B31" i="9"/>
  <c r="C31" i="9"/>
  <c r="D31" i="9"/>
  <c r="B32" i="9"/>
  <c r="C32" i="9"/>
  <c r="D32" i="9"/>
  <c r="B55" i="9"/>
  <c r="C55" i="9"/>
  <c r="D55" i="9"/>
  <c r="B10" i="9"/>
  <c r="C10" i="9"/>
  <c r="D10" i="9"/>
  <c r="B39" i="9"/>
  <c r="C39" i="9"/>
  <c r="D39" i="9"/>
  <c r="B33" i="9"/>
  <c r="C33" i="9"/>
  <c r="D33" i="9"/>
  <c r="B8" i="9"/>
  <c r="C8" i="9"/>
  <c r="D8" i="9"/>
  <c r="B18" i="9"/>
  <c r="C18" i="9"/>
  <c r="D18" i="9"/>
  <c r="B40" i="9"/>
  <c r="C40" i="9"/>
  <c r="D40" i="9"/>
  <c r="B24" i="9"/>
  <c r="C24" i="9"/>
  <c r="D24" i="9"/>
  <c r="B19" i="9"/>
  <c r="C19" i="9"/>
  <c r="D19" i="9"/>
  <c r="B41" i="9"/>
  <c r="C41" i="9"/>
  <c r="D41" i="9"/>
  <c r="B42" i="9"/>
  <c r="C42" i="9"/>
  <c r="D42" i="9"/>
  <c r="B43" i="9"/>
  <c r="C43" i="9"/>
  <c r="D43" i="9"/>
  <c r="B25" i="9"/>
  <c r="C25" i="9"/>
  <c r="D25" i="9"/>
  <c r="B20" i="9"/>
  <c r="C20" i="9"/>
  <c r="D20" i="9"/>
  <c r="B44" i="9"/>
  <c r="C44" i="9"/>
  <c r="D44" i="9"/>
  <c r="B26" i="9"/>
  <c r="C26" i="9"/>
  <c r="D26" i="9"/>
  <c r="B27" i="9"/>
  <c r="C27" i="9"/>
  <c r="D27" i="9"/>
  <c r="B45" i="9"/>
  <c r="C45" i="9"/>
  <c r="D45" i="9"/>
  <c r="B28" i="9"/>
  <c r="C28" i="9"/>
  <c r="D28" i="9"/>
  <c r="B46" i="9"/>
  <c r="C46" i="9"/>
  <c r="D46" i="9"/>
  <c r="B47" i="9"/>
  <c r="C47" i="9"/>
  <c r="D47" i="9"/>
  <c r="B48" i="9"/>
  <c r="C48" i="9"/>
  <c r="D48" i="9"/>
  <c r="B29" i="9"/>
  <c r="C29" i="9"/>
  <c r="D29" i="9"/>
  <c r="B49" i="9"/>
  <c r="C49" i="9"/>
  <c r="D49" i="9"/>
  <c r="B50" i="9"/>
  <c r="C50" i="9"/>
  <c r="D50" i="9"/>
  <c r="B51" i="9"/>
  <c r="C51" i="9"/>
  <c r="D51" i="9"/>
  <c r="B52" i="9"/>
  <c r="C52" i="9"/>
  <c r="D52" i="9"/>
  <c r="B53" i="9"/>
  <c r="C53" i="9"/>
  <c r="D53" i="9"/>
  <c r="B54" i="9"/>
  <c r="C54" i="9"/>
  <c r="D54" i="9"/>
  <c r="B56" i="9"/>
  <c r="C56" i="9"/>
  <c r="D56" i="9"/>
  <c r="B57" i="9"/>
  <c r="C57" i="9"/>
  <c r="D57" i="9"/>
  <c r="B58" i="9"/>
  <c r="C58" i="9"/>
  <c r="D58" i="9"/>
  <c r="B59" i="9"/>
  <c r="C59" i="9"/>
  <c r="D59" i="9"/>
  <c r="B60" i="9"/>
  <c r="C60" i="9"/>
  <c r="D60" i="9"/>
  <c r="B61" i="9"/>
  <c r="C61" i="9"/>
  <c r="D61" i="9"/>
  <c r="B62" i="9"/>
  <c r="C62" i="9"/>
  <c r="D62" i="9"/>
  <c r="B63" i="9"/>
  <c r="C63" i="9"/>
  <c r="D63" i="9"/>
  <c r="B64" i="9"/>
  <c r="C64" i="9"/>
  <c r="D64" i="9"/>
  <c r="B65" i="9"/>
  <c r="C65" i="9"/>
  <c r="D65" i="9"/>
  <c r="B66" i="9"/>
  <c r="C66" i="9"/>
  <c r="D66" i="9"/>
  <c r="B67" i="9"/>
  <c r="C67" i="9"/>
  <c r="D67" i="9"/>
  <c r="B68" i="9"/>
  <c r="C68" i="9"/>
  <c r="D68" i="9"/>
  <c r="B13" i="9"/>
  <c r="C13" i="9"/>
  <c r="D13" i="9"/>
  <c r="B7" i="9"/>
  <c r="C7" i="9"/>
  <c r="D7" i="9"/>
  <c r="B2" i="9"/>
  <c r="B14" i="9"/>
  <c r="C14" i="9"/>
  <c r="D14" i="9"/>
  <c r="B11" i="9"/>
  <c r="C11" i="9"/>
  <c r="D11" i="9"/>
  <c r="B16" i="9"/>
  <c r="C16" i="9"/>
  <c r="D16" i="9"/>
  <c r="B15" i="9"/>
  <c r="C15" i="9"/>
  <c r="D15" i="9"/>
  <c r="B4" i="9"/>
  <c r="C4" i="9"/>
  <c r="D4" i="9"/>
  <c r="B9" i="9"/>
  <c r="C9" i="9"/>
  <c r="D9" i="9"/>
  <c r="D6" i="9"/>
  <c r="C6" i="9"/>
  <c r="B6" i="9"/>
  <c r="E25" i="17" l="1"/>
  <c r="E3" i="17"/>
  <c r="E28" i="17"/>
  <c r="E5" i="17"/>
  <c r="E18" i="17"/>
  <c r="E2" i="17"/>
  <c r="E30" i="17"/>
  <c r="E7" i="17"/>
  <c r="E32" i="17"/>
  <c r="E12" i="17"/>
  <c r="E24" i="17"/>
  <c r="E14" i="17"/>
  <c r="E10" i="17"/>
  <c r="E13" i="17"/>
  <c r="E15" i="17"/>
  <c r="E34" i="17"/>
  <c r="E21" i="17"/>
  <c r="E37" i="17"/>
  <c r="E39" i="17"/>
  <c r="E40" i="17"/>
  <c r="E43" i="17"/>
  <c r="E45" i="17"/>
  <c r="E47" i="17"/>
  <c r="E49" i="17"/>
  <c r="E51" i="17"/>
  <c r="E53" i="17"/>
  <c r="E55" i="17"/>
  <c r="E57" i="17"/>
  <c r="E59" i="17"/>
  <c r="E61" i="17"/>
  <c r="E63" i="17"/>
  <c r="E65" i="17"/>
  <c r="E67" i="17"/>
  <c r="E69" i="17"/>
  <c r="E71" i="17"/>
  <c r="E73" i="17"/>
  <c r="E75" i="17"/>
  <c r="E77" i="17"/>
  <c r="E79" i="17"/>
  <c r="E81" i="17"/>
  <c r="E83" i="17"/>
  <c r="E85" i="17"/>
  <c r="E87" i="17"/>
  <c r="E89" i="17"/>
  <c r="E91" i="17"/>
  <c r="E93" i="17"/>
  <c r="E95" i="17"/>
  <c r="E97" i="17"/>
  <c r="E99" i="17"/>
  <c r="E101" i="17"/>
  <c r="E103" i="17"/>
  <c r="E105" i="17"/>
  <c r="E107" i="17"/>
  <c r="E26" i="17"/>
  <c r="E22" i="17"/>
  <c r="E27" i="17"/>
  <c r="E17" i="17"/>
  <c r="E6" i="17"/>
  <c r="E29" i="17"/>
  <c r="E11" i="17"/>
  <c r="E8" i="17"/>
  <c r="E31" i="17"/>
  <c r="E4" i="17"/>
  <c r="E19" i="17"/>
  <c r="E23" i="17"/>
  <c r="E33" i="17"/>
  <c r="E16" i="17"/>
  <c r="E20" i="17"/>
  <c r="E9" i="17"/>
  <c r="E35" i="17"/>
  <c r="E36" i="17"/>
  <c r="E38" i="17"/>
  <c r="E42" i="17"/>
  <c r="E41" i="17"/>
  <c r="E44" i="17"/>
  <c r="E46" i="17"/>
  <c r="E48" i="17"/>
  <c r="E50" i="17"/>
  <c r="E52" i="17"/>
  <c r="E54" i="17"/>
  <c r="E56" i="17"/>
  <c r="E58" i="17"/>
  <c r="E60" i="17"/>
  <c r="E62" i="17"/>
  <c r="E64" i="17"/>
  <c r="E66" i="17"/>
  <c r="E68" i="17"/>
  <c r="E70" i="17"/>
  <c r="E72" i="17"/>
  <c r="E74" i="17"/>
  <c r="E76" i="17"/>
  <c r="E78" i="17"/>
  <c r="E80" i="17"/>
  <c r="E82" i="17"/>
  <c r="E84" i="17"/>
  <c r="E86" i="17"/>
  <c r="E88" i="17"/>
  <c r="E90" i="17"/>
  <c r="E92" i="17"/>
  <c r="E94" i="17"/>
  <c r="E96" i="17"/>
  <c r="E98" i="17"/>
  <c r="E100" i="17"/>
  <c r="E102" i="17"/>
  <c r="E104" i="17"/>
  <c r="E106" i="17"/>
  <c r="E108" i="17"/>
  <c r="E9" i="9"/>
  <c r="E15" i="9"/>
  <c r="E11" i="9"/>
  <c r="E13" i="9"/>
  <c r="E67" i="9"/>
  <c r="E63" i="9"/>
  <c r="E57" i="9"/>
  <c r="E52" i="9"/>
  <c r="E29" i="9"/>
  <c r="E28" i="9"/>
  <c r="E25" i="9"/>
  <c r="E40" i="9"/>
  <c r="E39" i="9"/>
  <c r="E22" i="9"/>
  <c r="E12" i="9"/>
  <c r="E65" i="9"/>
  <c r="E61" i="9"/>
  <c r="E59" i="9"/>
  <c r="E54" i="9"/>
  <c r="E50" i="9"/>
  <c r="E47" i="9"/>
  <c r="E27" i="9"/>
  <c r="E44" i="9"/>
  <c r="E42" i="9"/>
  <c r="E19" i="9"/>
  <c r="E8" i="9"/>
  <c r="E55" i="9"/>
  <c r="E31" i="9"/>
  <c r="E38" i="9"/>
  <c r="E17" i="9"/>
  <c r="E30" i="9"/>
  <c r="E35" i="9"/>
  <c r="E6" i="9"/>
  <c r="E4" i="9"/>
  <c r="E16" i="9"/>
  <c r="E14" i="9"/>
  <c r="E7" i="9"/>
  <c r="E68" i="9"/>
  <c r="E66" i="9"/>
  <c r="E64" i="9"/>
  <c r="E62" i="9"/>
  <c r="E60" i="9"/>
  <c r="E58" i="9"/>
  <c r="E56" i="9"/>
  <c r="E53" i="9"/>
  <c r="E51" i="9"/>
  <c r="E49" i="9"/>
  <c r="E48" i="9"/>
  <c r="E46" i="9"/>
  <c r="E45" i="9"/>
  <c r="E26" i="9"/>
  <c r="E20" i="9"/>
  <c r="E43" i="9"/>
  <c r="E41" i="9"/>
  <c r="E24" i="9"/>
  <c r="E18" i="9"/>
  <c r="E33" i="9"/>
  <c r="E10" i="9"/>
  <c r="E32" i="9"/>
  <c r="E23" i="9"/>
  <c r="E37" i="9"/>
  <c r="E36" i="9"/>
  <c r="E21" i="9"/>
  <c r="E5" i="9"/>
  <c r="E34" i="9"/>
  <c r="E3" i="9"/>
  <c r="E2" i="9"/>
  <c r="F19" i="4"/>
  <c r="F18" i="4"/>
  <c r="F17" i="4"/>
  <c r="G20" i="4"/>
  <c r="G19" i="4"/>
  <c r="G18" i="4"/>
  <c r="G17" i="4"/>
  <c r="H21" i="4"/>
  <c r="H20" i="4"/>
  <c r="H19" i="4"/>
  <c r="H18" i="4"/>
  <c r="H17" i="4"/>
  <c r="I22" i="4"/>
  <c r="I21" i="4"/>
  <c r="I20" i="4"/>
  <c r="I19" i="4"/>
  <c r="I18" i="4"/>
  <c r="I17" i="4"/>
  <c r="J23" i="4"/>
  <c r="J22" i="4"/>
  <c r="J21" i="4"/>
  <c r="J20" i="4"/>
  <c r="J19" i="4"/>
  <c r="J18" i="4"/>
  <c r="J17" i="4"/>
  <c r="K24" i="4"/>
  <c r="K23" i="4"/>
  <c r="K22" i="4"/>
  <c r="K21" i="4"/>
  <c r="K20" i="4"/>
  <c r="K19" i="4"/>
  <c r="L25" i="4"/>
  <c r="L24" i="4"/>
  <c r="L23" i="4"/>
  <c r="L22" i="4"/>
  <c r="L21" i="4"/>
  <c r="L20" i="4"/>
  <c r="L19" i="4"/>
  <c r="K26" i="4"/>
  <c r="J26" i="4"/>
  <c r="J25" i="4"/>
  <c r="I26" i="4"/>
  <c r="I25" i="4"/>
  <c r="I24" i="4"/>
  <c r="H26" i="4"/>
  <c r="H25" i="4"/>
  <c r="H24" i="4"/>
  <c r="H23" i="4"/>
  <c r="G26" i="4"/>
  <c r="G25" i="4"/>
  <c r="G24" i="4"/>
  <c r="G23" i="4"/>
  <c r="G22" i="4"/>
  <c r="F26" i="4"/>
  <c r="F25" i="4"/>
  <c r="F24" i="4"/>
  <c r="F23" i="4"/>
  <c r="F22" i="4"/>
  <c r="F21" i="4"/>
  <c r="E26" i="4"/>
  <c r="E25" i="4"/>
  <c r="E24" i="4"/>
  <c r="E23" i="4"/>
  <c r="E22" i="4"/>
  <c r="E21" i="4"/>
  <c r="E20" i="4"/>
  <c r="D26" i="4"/>
  <c r="D25" i="4"/>
  <c r="D24" i="4"/>
  <c r="D23" i="4"/>
  <c r="D22" i="4"/>
  <c r="D21" i="4"/>
  <c r="D20" i="4"/>
  <c r="D19" i="4"/>
  <c r="C26" i="4"/>
  <c r="C25" i="4"/>
  <c r="C24" i="4"/>
  <c r="C23" i="4"/>
  <c r="C22" i="4"/>
  <c r="C21" i="4"/>
  <c r="C20" i="4"/>
  <c r="C19" i="4"/>
  <c r="L17" i="4"/>
  <c r="K17" i="4"/>
  <c r="E17" i="4"/>
  <c r="D17" i="4"/>
  <c r="L18" i="4"/>
  <c r="K18" i="4"/>
  <c r="E18" i="4"/>
  <c r="C18" i="4"/>
  <c r="K12" i="4"/>
  <c r="L11" i="4"/>
  <c r="J12" i="4"/>
  <c r="L10" i="4"/>
  <c r="J11" i="4"/>
  <c r="K10" i="4"/>
  <c r="I12" i="4"/>
  <c r="L9" i="4"/>
  <c r="I11" i="4"/>
  <c r="K9" i="4"/>
  <c r="I10" i="4"/>
  <c r="J9" i="4"/>
  <c r="H12" i="4"/>
  <c r="L8" i="4"/>
  <c r="H11" i="4"/>
  <c r="K8" i="4"/>
  <c r="H10" i="4"/>
  <c r="J8" i="4"/>
  <c r="H9" i="4"/>
  <c r="I8" i="4"/>
  <c r="G12" i="4"/>
  <c r="L7" i="4"/>
  <c r="G11" i="4"/>
  <c r="K7" i="4"/>
  <c r="G10" i="4"/>
  <c r="J7" i="4"/>
  <c r="G9" i="4"/>
  <c r="I7" i="4"/>
  <c r="G8" i="4"/>
  <c r="H7" i="4"/>
  <c r="F12" i="4"/>
  <c r="L6" i="4"/>
  <c r="F11" i="4"/>
  <c r="K6" i="4"/>
  <c r="F10" i="4"/>
  <c r="J6" i="4"/>
  <c r="F9" i="4"/>
  <c r="I6" i="4"/>
  <c r="F8" i="4"/>
  <c r="H6" i="4"/>
  <c r="F7" i="4"/>
  <c r="G6" i="4"/>
  <c r="E12" i="4"/>
  <c r="L5" i="4"/>
  <c r="E11" i="4"/>
  <c r="K5" i="4"/>
  <c r="E10" i="4"/>
  <c r="J5" i="4"/>
  <c r="E9" i="4"/>
  <c r="I5" i="4"/>
  <c r="E8" i="4"/>
  <c r="H5" i="4"/>
  <c r="E7" i="4"/>
  <c r="G5" i="4"/>
  <c r="E6" i="4"/>
  <c r="F5" i="4"/>
  <c r="D12" i="4"/>
  <c r="L4" i="4"/>
  <c r="C12" i="4"/>
  <c r="K3" i="4"/>
  <c r="D11" i="4"/>
  <c r="K4" i="4"/>
  <c r="C10" i="4"/>
  <c r="C11" i="4"/>
  <c r="J3" i="4"/>
  <c r="D10" i="4"/>
  <c r="J4" i="4"/>
  <c r="D9" i="4"/>
  <c r="I4" i="4"/>
  <c r="D8" i="4"/>
  <c r="H4" i="4"/>
  <c r="D7" i="4"/>
  <c r="G4" i="4"/>
  <c r="C6" i="4"/>
  <c r="D6" i="4"/>
  <c r="F4" i="4"/>
  <c r="D5" i="4"/>
  <c r="E4" i="4"/>
  <c r="L3" i="4"/>
  <c r="C9" i="4"/>
  <c r="I3" i="4"/>
  <c r="C8" i="4"/>
  <c r="H3" i="4"/>
  <c r="C7" i="4"/>
  <c r="G3" i="4"/>
  <c r="F3" i="4"/>
  <c r="C4" i="4"/>
  <c r="D3" i="4"/>
  <c r="C5" i="4"/>
  <c r="E3" i="4"/>
  <c r="I33" i="1" l="1"/>
  <c r="L33" i="1"/>
  <c r="O33" i="1"/>
  <c r="R33" i="1"/>
  <c r="U33" i="1"/>
  <c r="X33" i="1"/>
  <c r="AA33" i="1"/>
  <c r="AD33" i="1"/>
  <c r="AG33" i="1"/>
  <c r="AJ33" i="1"/>
  <c r="AM33" i="1"/>
  <c r="AP33" i="1"/>
  <c r="I30" i="1"/>
  <c r="L30" i="1"/>
  <c r="O30" i="1"/>
  <c r="R30" i="1"/>
  <c r="U30" i="1"/>
  <c r="X30" i="1"/>
  <c r="AA30" i="1"/>
  <c r="AD30" i="1"/>
  <c r="AG30" i="1"/>
  <c r="AJ30" i="1"/>
  <c r="AM30" i="1"/>
  <c r="AP30" i="1"/>
  <c r="F33" i="1"/>
  <c r="C33" i="1"/>
  <c r="L8" i="1"/>
  <c r="O8" i="1"/>
  <c r="R8" i="1"/>
  <c r="AG8" i="1"/>
  <c r="AD8" i="1"/>
  <c r="U8" i="1"/>
  <c r="X8" i="1"/>
  <c r="AJ8" i="1"/>
  <c r="AS8" i="1"/>
  <c r="AR2" i="1"/>
  <c r="AS2" i="1" s="1"/>
  <c r="AA8" i="1"/>
  <c r="F8" i="1"/>
  <c r="I8" i="1"/>
  <c r="F30" i="1" l="1"/>
  <c r="C32" i="1"/>
  <c r="I7" i="1"/>
  <c r="AM7" i="1"/>
  <c r="AP7" i="1"/>
  <c r="AA7" i="1"/>
  <c r="AJ7" i="1"/>
  <c r="X7" i="1"/>
  <c r="U7" i="1"/>
  <c r="F7" i="1"/>
  <c r="AD7" i="1"/>
  <c r="AG7" i="1"/>
  <c r="R7" i="1"/>
  <c r="O7" i="1"/>
  <c r="L7" i="1"/>
  <c r="A10" i="1"/>
  <c r="A12" i="1"/>
  <c r="A14" i="1"/>
  <c r="A16" i="1"/>
  <c r="A18" i="1"/>
  <c r="A20" i="1"/>
  <c r="A22" i="1"/>
  <c r="A24" i="1"/>
  <c r="A26" i="1"/>
  <c r="A28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" i="1"/>
  <c r="AP6" i="1" l="1"/>
  <c r="AP2" i="1"/>
  <c r="AO2" i="1"/>
  <c r="AM6" i="1"/>
  <c r="AL2" i="1"/>
  <c r="AM2" i="1" s="1"/>
  <c r="AJ6" i="1"/>
  <c r="AI2" i="1"/>
  <c r="C31" i="1"/>
  <c r="AG6" i="1"/>
  <c r="AD6" i="1"/>
  <c r="AF2" i="1"/>
  <c r="AG2" i="1" s="1"/>
  <c r="AC2" i="1"/>
  <c r="AD2" i="1" s="1"/>
  <c r="AA6" i="1"/>
  <c r="AA2" i="1"/>
  <c r="Z2" i="1"/>
  <c r="W2" i="1"/>
  <c r="X2" i="1" s="1"/>
  <c r="T2" i="1"/>
  <c r="U2" i="1" s="1"/>
  <c r="R6" i="1"/>
  <c r="Q2" i="1"/>
  <c r="R2" i="1" s="1"/>
  <c r="N2" i="1"/>
  <c r="O2" i="1" s="1"/>
  <c r="X6" i="1"/>
  <c r="U6" i="1"/>
  <c r="O6" i="1"/>
  <c r="L6" i="1"/>
  <c r="I4" i="1"/>
  <c r="I5" i="1"/>
  <c r="I6" i="1"/>
  <c r="I3" i="1"/>
  <c r="F4" i="1"/>
  <c r="F5" i="1"/>
  <c r="F6" i="1"/>
  <c r="F3" i="1"/>
  <c r="AJ2" i="1" l="1"/>
</calcChain>
</file>

<file path=xl/sharedStrings.xml><?xml version="1.0" encoding="utf-8"?>
<sst xmlns="http://schemas.openxmlformats.org/spreadsheetml/2006/main" count="1143" uniqueCount="679">
  <si>
    <t>なお</t>
    <phoneticPr fontId="1"/>
  </si>
  <si>
    <t>ほり</t>
    <phoneticPr fontId="1"/>
  </si>
  <si>
    <t>レベル40</t>
    <phoneticPr fontId="1"/>
  </si>
  <si>
    <t>レベル</t>
  </si>
  <si>
    <t>必要経験値</t>
  </si>
  <si>
    <t>トータル経験値</t>
  </si>
  <si>
    <t>さこん</t>
    <phoneticPr fontId="1"/>
  </si>
  <si>
    <t>まみ</t>
    <phoneticPr fontId="1"/>
  </si>
  <si>
    <t>ハルカス</t>
    <phoneticPr fontId="1"/>
  </si>
  <si>
    <t>すーちゃん</t>
    <phoneticPr fontId="1"/>
  </si>
  <si>
    <t>すぎ</t>
    <phoneticPr fontId="1"/>
  </si>
  <si>
    <t>あいのすけ</t>
    <phoneticPr fontId="1"/>
  </si>
  <si>
    <t>なかしー</t>
    <phoneticPr fontId="1"/>
  </si>
  <si>
    <t>しお</t>
    <phoneticPr fontId="1"/>
  </si>
  <si>
    <t>ほりえせかんど</t>
    <phoneticPr fontId="1"/>
  </si>
  <si>
    <t>ほりえさーど</t>
    <phoneticPr fontId="1"/>
  </si>
  <si>
    <t>さお</t>
    <phoneticPr fontId="1"/>
  </si>
  <si>
    <t>２左</t>
    <rPh sb="1" eb="2">
      <t>ヒダリ</t>
    </rPh>
    <phoneticPr fontId="1"/>
  </si>
  <si>
    <t>Xthunderstorm13</t>
    <phoneticPr fontId="1"/>
  </si>
  <si>
    <t>ラグラージ</t>
    <phoneticPr fontId="1"/>
  </si>
  <si>
    <t>トリデプス</t>
    <phoneticPr fontId="1"/>
  </si>
  <si>
    <t>チャーレム</t>
    <phoneticPr fontId="1"/>
  </si>
  <si>
    <t>GeorgeWoolf</t>
    <phoneticPr fontId="1"/>
  </si>
  <si>
    <t>ラプラス</t>
    <phoneticPr fontId="1"/>
  </si>
  <si>
    <t>チルタリス</t>
    <phoneticPr fontId="1"/>
  </si>
  <si>
    <t>ライチュウ</t>
    <phoneticPr fontId="1"/>
  </si>
  <si>
    <t>かわらわり</t>
    <phoneticPr fontId="1"/>
  </si>
  <si>
    <t>ゴッドバード</t>
    <phoneticPr fontId="1"/>
  </si>
  <si>
    <t>ハイドロカノン</t>
    <phoneticPr fontId="1"/>
  </si>
  <si>
    <t>れいとうパンチ</t>
    <phoneticPr fontId="1"/>
  </si>
  <si>
    <t>ばくれつパンチ</t>
    <phoneticPr fontId="1"/>
  </si>
  <si>
    <t>ストーンエッジ</t>
    <phoneticPr fontId="1"/>
  </si>
  <si>
    <t>Jeree0609</t>
    <phoneticPr fontId="1"/>
  </si>
  <si>
    <t>メガニウム</t>
    <phoneticPr fontId="1"/>
  </si>
  <si>
    <t>かえんほうしゃ</t>
    <phoneticPr fontId="1"/>
  </si>
  <si>
    <t>ハガネール</t>
    <phoneticPr fontId="1"/>
  </si>
  <si>
    <t>エアームド</t>
    <phoneticPr fontId="1"/>
  </si>
  <si>
    <t>ラグラージ</t>
    <phoneticPr fontId="1"/>
  </si>
  <si>
    <t>android7belas</t>
    <phoneticPr fontId="1"/>
  </si>
  <si>
    <t>アローラライチュウ</t>
    <phoneticPr fontId="1"/>
  </si>
  <si>
    <t>かみなりパンチ</t>
    <phoneticPr fontId="1"/>
  </si>
  <si>
    <t>ラグラージ</t>
    <phoneticPr fontId="1"/>
  </si>
  <si>
    <t>れいとうビーム</t>
    <phoneticPr fontId="1"/>
  </si>
  <si>
    <t>マリルリ</t>
    <phoneticPr fontId="1"/>
  </si>
  <si>
    <t>れいとうびーむ</t>
    <phoneticPr fontId="1"/>
  </si>
  <si>
    <t>Igorlate</t>
    <phoneticPr fontId="1"/>
  </si>
  <si>
    <t>フシギバナ</t>
    <phoneticPr fontId="1"/>
  </si>
  <si>
    <t>ヘルガー</t>
    <phoneticPr fontId="1"/>
  </si>
  <si>
    <t>ハードプラント</t>
    <phoneticPr fontId="1"/>
  </si>
  <si>
    <t>ianeAllison</t>
    <phoneticPr fontId="1"/>
  </si>
  <si>
    <t>チルタリス</t>
    <phoneticPr fontId="1"/>
  </si>
  <si>
    <t>アーケン</t>
    <phoneticPr fontId="1"/>
  </si>
  <si>
    <t>かみくだく</t>
    <phoneticPr fontId="1"/>
  </si>
  <si>
    <t>りゅうのはどう</t>
    <phoneticPr fontId="1"/>
  </si>
  <si>
    <t>レート</t>
    <phoneticPr fontId="1"/>
  </si>
  <si>
    <t>先発</t>
    <rPh sb="0" eb="2">
      <t>センパツ</t>
    </rPh>
    <phoneticPr fontId="1"/>
  </si>
  <si>
    <t>控え</t>
    <rPh sb="0" eb="1">
      <t>ヒカ</t>
    </rPh>
    <phoneticPr fontId="1"/>
  </si>
  <si>
    <t>勝敗</t>
    <rPh sb="0" eb="2">
      <t>ショウハイ</t>
    </rPh>
    <phoneticPr fontId="1"/>
  </si>
  <si>
    <t>AxelIM1003</t>
    <phoneticPr fontId="1"/>
  </si>
  <si>
    <t>Dデオキシス</t>
    <phoneticPr fontId="1"/>
  </si>
  <si>
    <t>サイコブースト</t>
    <phoneticPr fontId="1"/>
  </si>
  <si>
    <t>レジスチル</t>
    <phoneticPr fontId="1"/>
  </si>
  <si>
    <t>ラスターカノン</t>
    <phoneticPr fontId="1"/>
  </si>
  <si>
    <t>CharanneShadow</t>
    <phoneticPr fontId="1"/>
  </si>
  <si>
    <t>じゃれつく</t>
    <phoneticPr fontId="1"/>
  </si>
  <si>
    <t>グロウパンチ</t>
    <phoneticPr fontId="1"/>
  </si>
  <si>
    <t>CagMatrix</t>
    <phoneticPr fontId="1"/>
  </si>
  <si>
    <t>ゴッドバード</t>
    <phoneticPr fontId="1"/>
  </si>
  <si>
    <t>JennaChenGo</t>
    <phoneticPr fontId="1"/>
  </si>
  <si>
    <t>エネコロロ</t>
    <phoneticPr fontId="1"/>
  </si>
  <si>
    <t>フワライド</t>
    <phoneticPr fontId="1"/>
  </si>
  <si>
    <t>フォレトス</t>
    <phoneticPr fontId="1"/>
  </si>
  <si>
    <t>すなじごく</t>
    <phoneticPr fontId="1"/>
  </si>
  <si>
    <t>ワイルドボルト</t>
    <phoneticPr fontId="1"/>
  </si>
  <si>
    <t>シャドーボール</t>
    <phoneticPr fontId="1"/>
  </si>
  <si>
    <t>あやしいかぜ</t>
    <phoneticPr fontId="1"/>
  </si>
  <si>
    <t>Jurt</t>
    <phoneticPr fontId="1"/>
  </si>
  <si>
    <t>ルナトーン</t>
    <phoneticPr fontId="1"/>
  </si>
  <si>
    <t>ロゼリア</t>
    <phoneticPr fontId="1"/>
  </si>
  <si>
    <t>ファイアー</t>
    <phoneticPr fontId="1"/>
  </si>
  <si>
    <t>PetitMort</t>
    <phoneticPr fontId="1"/>
  </si>
  <si>
    <t>ルカリオ</t>
    <phoneticPr fontId="1"/>
  </si>
  <si>
    <t>アローラガラガラ</t>
    <phoneticPr fontId="1"/>
  </si>
  <si>
    <t>シャドーボール</t>
    <phoneticPr fontId="1"/>
  </si>
  <si>
    <t>Sharonjaseth</t>
    <phoneticPr fontId="1"/>
  </si>
  <si>
    <t>ランターン</t>
    <phoneticPr fontId="1"/>
  </si>
  <si>
    <t>１０万ボルト</t>
    <rPh sb="2" eb="3">
      <t>マン</t>
    </rPh>
    <phoneticPr fontId="1"/>
  </si>
  <si>
    <t>あくのはどう</t>
    <phoneticPr fontId="1"/>
  </si>
  <si>
    <t>Chamstaf</t>
    <phoneticPr fontId="1"/>
  </si>
  <si>
    <t>AndyFaz85</t>
    <phoneticPr fontId="1"/>
  </si>
  <si>
    <t>ライコウ</t>
    <phoneticPr fontId="1"/>
  </si>
  <si>
    <t>ラフレシア</t>
    <phoneticPr fontId="1"/>
  </si>
  <si>
    <t>れいとうビーム</t>
    <phoneticPr fontId="1"/>
  </si>
  <si>
    <t>ダイノーズ</t>
    <phoneticPr fontId="1"/>
  </si>
  <si>
    <t>LordRed8</t>
    <phoneticPr fontId="1"/>
  </si>
  <si>
    <t>ナマズン</t>
    <phoneticPr fontId="1"/>
  </si>
  <si>
    <t>ふぶき</t>
    <phoneticPr fontId="1"/>
  </si>
  <si>
    <t>いわなだれ</t>
    <phoneticPr fontId="1"/>
  </si>
  <si>
    <t>ジラーチ</t>
    <phoneticPr fontId="1"/>
  </si>
  <si>
    <t>ドクロッグ</t>
    <phoneticPr fontId="1"/>
  </si>
  <si>
    <t>スリーパー</t>
    <phoneticPr fontId="1"/>
  </si>
  <si>
    <t>れいとうビーム</t>
    <phoneticPr fontId="1"/>
  </si>
  <si>
    <t>控え</t>
    <rPh sb="0" eb="1">
      <t>ヒカ</t>
    </rPh>
    <phoneticPr fontId="1"/>
  </si>
  <si>
    <t>サンダー</t>
    <phoneticPr fontId="1"/>
  </si>
  <si>
    <t>ファイヤー</t>
    <phoneticPr fontId="1"/>
  </si>
  <si>
    <t>先発</t>
    <rPh sb="0" eb="2">
      <t>センパツ</t>
    </rPh>
    <phoneticPr fontId="1"/>
  </si>
  <si>
    <t>全て2</t>
    <rPh sb="0" eb="1">
      <t>スベ2</t>
    </rPh>
    <phoneticPr fontId="1"/>
  </si>
  <si>
    <t>チルタリス</t>
  </si>
  <si>
    <t>ズルッグ</t>
  </si>
  <si>
    <t>ピクシー</t>
  </si>
  <si>
    <t>グロウパンチ</t>
    <phoneticPr fontId="1"/>
  </si>
  <si>
    <t>アローラライチュウ</t>
  </si>
  <si>
    <t>くさむすび</t>
    <phoneticPr fontId="1"/>
  </si>
  <si>
    <t>アローラガラガラ</t>
  </si>
  <si>
    <t>ナマズン</t>
  </si>
  <si>
    <t>ラグラージ</t>
  </si>
  <si>
    <t>ブラッキー</t>
  </si>
  <si>
    <t>イカサマ</t>
    <phoneticPr fontId="1"/>
  </si>
  <si>
    <t>トリデプス</t>
  </si>
  <si>
    <t>ヤルキモノ</t>
  </si>
  <si>
    <t>かわらわり</t>
    <phoneticPr fontId="1"/>
  </si>
  <si>
    <t>ストーンエッジ</t>
    <phoneticPr fontId="1"/>
  </si>
  <si>
    <t>エアームド</t>
  </si>
  <si>
    <t>マリルリ</t>
  </si>
  <si>
    <t>レジスチル</t>
  </si>
  <si>
    <t>ラスターカノン</t>
    <phoneticPr fontId="1"/>
  </si>
  <si>
    <t>れいとうビーム</t>
    <phoneticPr fontId="1"/>
  </si>
  <si>
    <t>れいとうビーム</t>
    <phoneticPr fontId="1"/>
  </si>
  <si>
    <t>エビワラー</t>
  </si>
  <si>
    <t>メガニウム</t>
  </si>
  <si>
    <t>じしん</t>
    <phoneticPr fontId="1"/>
  </si>
  <si>
    <t>ラプラス</t>
  </si>
  <si>
    <t>カイリキー</t>
  </si>
  <si>
    <t>オニゴーリ</t>
  </si>
  <si>
    <t>ゴースト</t>
  </si>
  <si>
    <t>ランターン</t>
  </si>
  <si>
    <t>アローラベトベトン</t>
  </si>
  <si>
    <t>キングドラ</t>
  </si>
  <si>
    <t>ふぶき</t>
    <phoneticPr fontId="1"/>
  </si>
  <si>
    <t>ヘドロウェーブ</t>
    <phoneticPr fontId="1"/>
  </si>
  <si>
    <t>きあいだま</t>
    <phoneticPr fontId="1"/>
  </si>
  <si>
    <t>ゴッドバード</t>
    <phoneticPr fontId="1"/>
  </si>
  <si>
    <t>れいとうビーム</t>
    <phoneticPr fontId="1"/>
  </si>
  <si>
    <t>チャーレム</t>
  </si>
  <si>
    <t>フシギバナ</t>
  </si>
  <si>
    <t>ロックオン</t>
    <phoneticPr fontId="1"/>
  </si>
  <si>
    <t>ラスターカノン　</t>
    <phoneticPr fontId="1"/>
  </si>
  <si>
    <t>きあいだま</t>
    <phoneticPr fontId="1"/>
  </si>
  <si>
    <t>あわ</t>
    <phoneticPr fontId="1"/>
  </si>
  <si>
    <t>カウンター</t>
    <phoneticPr fontId="1"/>
  </si>
  <si>
    <t>サイコチャーレム</t>
  </si>
  <si>
    <t>サイコチャーレム</t>
    <phoneticPr fontId="1"/>
  </si>
  <si>
    <t>カウチャーレム</t>
  </si>
  <si>
    <t>カウチャーレム</t>
    <phoneticPr fontId="1"/>
  </si>
  <si>
    <t>カウチャーレム</t>
    <phoneticPr fontId="1"/>
  </si>
  <si>
    <t>サイコチャーレム</t>
    <phoneticPr fontId="1"/>
  </si>
  <si>
    <t>つるのむち</t>
    <phoneticPr fontId="1"/>
  </si>
  <si>
    <t>ハードプラント</t>
    <phoneticPr fontId="1"/>
  </si>
  <si>
    <t>ヘドロばくだん</t>
    <phoneticPr fontId="1"/>
  </si>
  <si>
    <t>Dデオキシス</t>
  </si>
  <si>
    <t>マイナン</t>
  </si>
  <si>
    <t>セレビィ</t>
  </si>
  <si>
    <t>たねばくだん</t>
    <phoneticPr fontId="1"/>
  </si>
  <si>
    <t>ライチュウ</t>
  </si>
  <si>
    <t>エンペルト</t>
  </si>
  <si>
    <t>ヨノワール</t>
  </si>
  <si>
    <t>ラティアス</t>
  </si>
  <si>
    <t>コドラ</t>
  </si>
  <si>
    <t>ラフレシア</t>
  </si>
  <si>
    <t>トロピウス</t>
  </si>
  <si>
    <t>フワライド</t>
  </si>
  <si>
    <t>ジラーチ</t>
  </si>
  <si>
    <t>ドータクン</t>
  </si>
  <si>
    <t>コロトック</t>
  </si>
  <si>
    <t>ハガネール</t>
  </si>
  <si>
    <t>ウソッキー</t>
  </si>
  <si>
    <t>カビゴン</t>
  </si>
  <si>
    <t>選出確率</t>
    <rPh sb="0" eb="2">
      <t>センシュツ</t>
    </rPh>
    <rPh sb="2" eb="4">
      <t>カクリツ</t>
    </rPh>
    <phoneticPr fontId="1"/>
  </si>
  <si>
    <t>エアームド</t>
    <phoneticPr fontId="1"/>
  </si>
  <si>
    <t>ラグラージ</t>
    <phoneticPr fontId="1"/>
  </si>
  <si>
    <t>トリデプス</t>
    <phoneticPr fontId="1"/>
  </si>
  <si>
    <t>ラグラージ</t>
    <phoneticPr fontId="1"/>
  </si>
  <si>
    <t>フシギバナ</t>
    <phoneticPr fontId="1"/>
  </si>
  <si>
    <t>先発回数</t>
    <rPh sb="0" eb="2">
      <t>センパツ</t>
    </rPh>
    <rPh sb="2" eb="4">
      <t>カイスウ</t>
    </rPh>
    <phoneticPr fontId="1"/>
  </si>
  <si>
    <t>控え回数</t>
    <rPh sb="0" eb="1">
      <t>ヒカ</t>
    </rPh>
    <rPh sb="2" eb="4">
      <t>カイスウ</t>
    </rPh>
    <phoneticPr fontId="1"/>
  </si>
  <si>
    <t>S</t>
    <phoneticPr fontId="1"/>
  </si>
  <si>
    <t>H</t>
    <phoneticPr fontId="1"/>
  </si>
  <si>
    <t>S</t>
    <phoneticPr fontId="1"/>
  </si>
  <si>
    <t>マリルリ</t>
    <phoneticPr fontId="1"/>
  </si>
  <si>
    <t>CagMatrix</t>
    <phoneticPr fontId="1"/>
  </si>
  <si>
    <t>チャーレム</t>
    <phoneticPr fontId="1"/>
  </si>
  <si>
    <t>エアームド</t>
    <phoneticPr fontId="1"/>
  </si>
  <si>
    <t>ラフレシア</t>
    <phoneticPr fontId="1"/>
  </si>
  <si>
    <t>MSP24</t>
    <phoneticPr fontId="1"/>
  </si>
  <si>
    <t>チルタリス</t>
    <phoneticPr fontId="1"/>
  </si>
  <si>
    <t>WONGｗｗ９６９８</t>
    <phoneticPr fontId="1"/>
  </si>
  <si>
    <t>ジラーチ</t>
    <phoneticPr fontId="1"/>
  </si>
  <si>
    <t>マジカルシャイン</t>
    <phoneticPr fontId="1"/>
  </si>
  <si>
    <t>pollitomix</t>
    <phoneticPr fontId="1"/>
  </si>
  <si>
    <t>ラグラージ</t>
    <phoneticPr fontId="1"/>
  </si>
  <si>
    <t>ｘWalkerkinｇx</t>
    <phoneticPr fontId="1"/>
  </si>
  <si>
    <t>ハードプラント</t>
    <phoneticPr fontId="1"/>
  </si>
  <si>
    <t>gradlois</t>
    <phoneticPr fontId="1"/>
  </si>
  <si>
    <t>ピクシー</t>
    <phoneticPr fontId="1"/>
  </si>
  <si>
    <t>ズルッグ</t>
    <phoneticPr fontId="1"/>
  </si>
  <si>
    <t>PaulRosenberg</t>
    <phoneticPr fontId="1"/>
  </si>
  <si>
    <t>アローラライチュウ</t>
    <phoneticPr fontId="1"/>
  </si>
  <si>
    <t>かみなりパンチ</t>
    <phoneticPr fontId="1"/>
  </si>
  <si>
    <t>RustellGiu</t>
    <phoneticPr fontId="1"/>
  </si>
  <si>
    <t>どろばくだん</t>
    <phoneticPr fontId="1"/>
  </si>
  <si>
    <t>ブラッキー</t>
    <phoneticPr fontId="1"/>
  </si>
  <si>
    <t>ShiraiK5</t>
    <phoneticPr fontId="1"/>
  </si>
  <si>
    <t>ピクシー</t>
    <phoneticPr fontId="1"/>
  </si>
  <si>
    <t>HseilSHc</t>
    <phoneticPr fontId="1"/>
  </si>
  <si>
    <t>ヤルキモノ</t>
    <phoneticPr fontId="1"/>
  </si>
  <si>
    <t>Ells1220</t>
    <phoneticPr fontId="1"/>
  </si>
  <si>
    <t>Rudykims</t>
    <phoneticPr fontId="1"/>
  </si>
  <si>
    <t>MUPOPO</t>
    <phoneticPr fontId="1"/>
  </si>
  <si>
    <t>レジスチル</t>
    <phoneticPr fontId="1"/>
  </si>
  <si>
    <t>どろばくだん</t>
    <phoneticPr fontId="1"/>
  </si>
  <si>
    <t>PlassVersasAll</t>
    <phoneticPr fontId="1"/>
  </si>
  <si>
    <t>くさむすび</t>
    <phoneticPr fontId="1"/>
  </si>
  <si>
    <t>ShinPoka01</t>
    <phoneticPr fontId="1"/>
  </si>
  <si>
    <t>エビワラー</t>
    <phoneticPr fontId="1"/>
  </si>
  <si>
    <t>Nietroperz65</t>
    <phoneticPr fontId="1"/>
  </si>
  <si>
    <t>ラプラス</t>
    <phoneticPr fontId="1"/>
  </si>
  <si>
    <t>カイリキー</t>
    <phoneticPr fontId="1"/>
  </si>
  <si>
    <t>いわなだれ</t>
    <phoneticPr fontId="1"/>
  </si>
  <si>
    <t>オニゴーリ</t>
    <phoneticPr fontId="1"/>
  </si>
  <si>
    <t>Rasparthe</t>
    <phoneticPr fontId="1"/>
  </si>
  <si>
    <t>ゴースト</t>
    <phoneticPr fontId="1"/>
  </si>
  <si>
    <t>ランターン</t>
    <phoneticPr fontId="1"/>
  </si>
  <si>
    <t>MyriMirea</t>
    <phoneticPr fontId="1"/>
  </si>
  <si>
    <t>kow1ch1</t>
    <phoneticPr fontId="1"/>
  </si>
  <si>
    <t>アローラベトベトン</t>
    <phoneticPr fontId="1"/>
  </si>
  <si>
    <t>キングドラ</t>
    <phoneticPr fontId="1"/>
  </si>
  <si>
    <t>takashi666666</t>
    <phoneticPr fontId="1"/>
  </si>
  <si>
    <t>ゴッドバード</t>
    <phoneticPr fontId="1"/>
  </si>
  <si>
    <t>tong51111</t>
    <phoneticPr fontId="1"/>
  </si>
  <si>
    <t>トリデプス</t>
    <phoneticPr fontId="1"/>
  </si>
  <si>
    <t>Niwakagunner</t>
    <phoneticPr fontId="1"/>
  </si>
  <si>
    <t>Macian15</t>
    <phoneticPr fontId="1"/>
  </si>
  <si>
    <t>ハイドロポンプ</t>
    <phoneticPr fontId="1"/>
  </si>
  <si>
    <t>Danes666</t>
    <phoneticPr fontId="1"/>
  </si>
  <si>
    <t>マイナン</t>
    <phoneticPr fontId="1"/>
  </si>
  <si>
    <t>ほうでん</t>
    <phoneticPr fontId="1"/>
  </si>
  <si>
    <t>セレビィ</t>
    <phoneticPr fontId="1"/>
  </si>
  <si>
    <t>Jeipen</t>
    <phoneticPr fontId="1"/>
  </si>
  <si>
    <t>ライチュウ</t>
    <phoneticPr fontId="1"/>
  </si>
  <si>
    <t>エンペルト</t>
    <phoneticPr fontId="1"/>
  </si>
  <si>
    <t>ヨノワール</t>
    <phoneticPr fontId="1"/>
  </si>
  <si>
    <t>PoorAndrew</t>
    <phoneticPr fontId="1"/>
  </si>
  <si>
    <t>Villaridis</t>
    <phoneticPr fontId="1"/>
  </si>
  <si>
    <t>ナマズン</t>
    <phoneticPr fontId="1"/>
  </si>
  <si>
    <t>tkkobatk</t>
    <phoneticPr fontId="1"/>
  </si>
  <si>
    <t>ラティアス</t>
    <phoneticPr fontId="1"/>
  </si>
  <si>
    <t>AMC29</t>
    <phoneticPr fontId="1"/>
  </si>
  <si>
    <t>コドラ</t>
    <phoneticPr fontId="1"/>
  </si>
  <si>
    <t>LuisAngelPoncho</t>
    <phoneticPr fontId="1"/>
  </si>
  <si>
    <t>N13MannD</t>
    <phoneticPr fontId="1"/>
  </si>
  <si>
    <t>Dデオキシス</t>
    <phoneticPr fontId="1"/>
  </si>
  <si>
    <t>Aniasanchez</t>
    <phoneticPr fontId="1"/>
  </si>
  <si>
    <t>トロピウス</t>
    <phoneticPr fontId="1"/>
  </si>
  <si>
    <t>Gatyomiyoko</t>
    <phoneticPr fontId="1"/>
  </si>
  <si>
    <t>フワライド</t>
    <phoneticPr fontId="1"/>
  </si>
  <si>
    <t>はめつのねがい</t>
    <phoneticPr fontId="1"/>
  </si>
  <si>
    <t>IHIpower</t>
    <phoneticPr fontId="1"/>
  </si>
  <si>
    <t>ドータクン</t>
    <phoneticPr fontId="1"/>
  </si>
  <si>
    <t>ryotafff1209</t>
    <phoneticPr fontId="1"/>
  </si>
  <si>
    <t>Specialmandy</t>
    <phoneticPr fontId="1"/>
  </si>
  <si>
    <t>コロトック</t>
    <phoneticPr fontId="1"/>
  </si>
  <si>
    <t>ｋmch</t>
    <phoneticPr fontId="1"/>
  </si>
  <si>
    <t>Feris22</t>
    <phoneticPr fontId="1"/>
  </si>
  <si>
    <t>ウソッキー</t>
    <phoneticPr fontId="1"/>
  </si>
  <si>
    <t>Greytective</t>
    <phoneticPr fontId="1"/>
  </si>
  <si>
    <t>123segamon</t>
    <phoneticPr fontId="1"/>
  </si>
  <si>
    <t>カビゴン</t>
    <phoneticPr fontId="1"/>
  </si>
  <si>
    <t>doublebrains</t>
    <phoneticPr fontId="1"/>
  </si>
  <si>
    <t>Baci8888</t>
    <phoneticPr fontId="1"/>
  </si>
  <si>
    <t>カイリキー</t>
    <phoneticPr fontId="1"/>
  </si>
  <si>
    <t>メガニウム</t>
    <phoneticPr fontId="1"/>
  </si>
  <si>
    <t>jimLam2</t>
    <phoneticPr fontId="1"/>
  </si>
  <si>
    <t>ニョロボン</t>
  </si>
  <si>
    <t>ニョロボン</t>
    <phoneticPr fontId="1"/>
  </si>
  <si>
    <t>バクフーン</t>
  </si>
  <si>
    <t>バクフーン</t>
    <phoneticPr fontId="1"/>
  </si>
  <si>
    <t>レベル</t>
    <phoneticPr fontId="1"/>
  </si>
  <si>
    <t>ベロベルト</t>
    <phoneticPr fontId="1"/>
  </si>
  <si>
    <t>トゲキッス</t>
  </si>
  <si>
    <t>トゲキッス</t>
    <phoneticPr fontId="1"/>
  </si>
  <si>
    <t>ギラティナアナザー</t>
  </si>
  <si>
    <t>ギラティナアナザー</t>
    <phoneticPr fontId="1"/>
  </si>
  <si>
    <t>クレセリア</t>
  </si>
  <si>
    <t>クレセリア</t>
    <phoneticPr fontId="1"/>
  </si>
  <si>
    <t>メルメタル</t>
    <phoneticPr fontId="1"/>
  </si>
  <si>
    <t>リザードン</t>
  </si>
  <si>
    <t>リザードン</t>
    <phoneticPr fontId="1"/>
  </si>
  <si>
    <t>カメックス</t>
  </si>
  <si>
    <t>カメックス</t>
    <phoneticPr fontId="1"/>
  </si>
  <si>
    <t>ウインディ</t>
  </si>
  <si>
    <t>ウインディ</t>
    <phoneticPr fontId="1"/>
  </si>
  <si>
    <t>ギャラドス</t>
  </si>
  <si>
    <t>ギャラドス</t>
    <phoneticPr fontId="1"/>
  </si>
  <si>
    <t>フリーザー</t>
    <phoneticPr fontId="1"/>
  </si>
  <si>
    <t>こおりのつぶて</t>
    <phoneticPr fontId="1"/>
  </si>
  <si>
    <t>げんしのちから</t>
    <phoneticPr fontId="1"/>
  </si>
  <si>
    <t>サンダー</t>
  </si>
  <si>
    <t>アーマードミューツー</t>
  </si>
  <si>
    <t>アーマードミューツー</t>
    <phoneticPr fontId="1"/>
  </si>
  <si>
    <t>オーダイル</t>
  </si>
  <si>
    <t>オーダイル</t>
    <phoneticPr fontId="1"/>
  </si>
  <si>
    <t>デンリュウ</t>
  </si>
  <si>
    <t>デンリュウ</t>
    <phoneticPr fontId="1"/>
  </si>
  <si>
    <t>ブラッキー</t>
    <phoneticPr fontId="1"/>
  </si>
  <si>
    <t>ハッサム</t>
  </si>
  <si>
    <t>ハッサム</t>
    <phoneticPr fontId="1"/>
  </si>
  <si>
    <t>ライコウ</t>
  </si>
  <si>
    <t>スイクン</t>
  </si>
  <si>
    <t>スイクン</t>
    <phoneticPr fontId="1"/>
  </si>
  <si>
    <t>バンギラス</t>
  </si>
  <si>
    <t>バンギラス</t>
    <phoneticPr fontId="1"/>
  </si>
  <si>
    <t>エンテイ</t>
  </si>
  <si>
    <t>エンテイ</t>
    <phoneticPr fontId="1"/>
  </si>
  <si>
    <t>ルギア</t>
    <phoneticPr fontId="1"/>
  </si>
  <si>
    <t>ジュカイン</t>
  </si>
  <si>
    <t>ジュカイン</t>
    <phoneticPr fontId="1"/>
  </si>
  <si>
    <t>バシャーモ</t>
  </si>
  <si>
    <t>バシャーモ</t>
    <phoneticPr fontId="1"/>
  </si>
  <si>
    <t>ダーテング</t>
  </si>
  <si>
    <t>ダーテング</t>
    <phoneticPr fontId="1"/>
  </si>
  <si>
    <t>サーナイト</t>
  </si>
  <si>
    <t>サーナイト</t>
    <phoneticPr fontId="1"/>
  </si>
  <si>
    <t>キノガッサ</t>
  </si>
  <si>
    <t>キノガッサ</t>
    <phoneticPr fontId="1"/>
  </si>
  <si>
    <t>フライゴン</t>
    <phoneticPr fontId="1"/>
  </si>
  <si>
    <t>メタグロス</t>
    <phoneticPr fontId="1"/>
  </si>
  <si>
    <t>レジロック</t>
    <phoneticPr fontId="1"/>
  </si>
  <si>
    <t>レジアイス</t>
    <phoneticPr fontId="1"/>
  </si>
  <si>
    <t>ラティオス</t>
    <phoneticPr fontId="1"/>
  </si>
  <si>
    <t>カイオーガ</t>
  </si>
  <si>
    <t>カイオーガ</t>
    <phoneticPr fontId="1"/>
  </si>
  <si>
    <t>ガブリアス</t>
  </si>
  <si>
    <t>ガブリアス</t>
    <phoneticPr fontId="1"/>
  </si>
  <si>
    <t>ドラピオン</t>
  </si>
  <si>
    <t>ドラピオン</t>
    <phoneticPr fontId="1"/>
  </si>
  <si>
    <t>ドクロッグ</t>
  </si>
  <si>
    <t>ユキノオー</t>
    <phoneticPr fontId="1"/>
  </si>
  <si>
    <t>ジバコイル</t>
  </si>
  <si>
    <t>ジバコイル</t>
    <phoneticPr fontId="1"/>
  </si>
  <si>
    <t>モジャンボ</t>
    <phoneticPr fontId="1"/>
  </si>
  <si>
    <t>グライオン</t>
  </si>
  <si>
    <t>グライオン</t>
    <phoneticPr fontId="1"/>
  </si>
  <si>
    <t>マンムー</t>
  </si>
  <si>
    <t>マンムー</t>
    <phoneticPr fontId="1"/>
  </si>
  <si>
    <t>ディアルガ</t>
  </si>
  <si>
    <t>ディアルガ</t>
    <phoneticPr fontId="1"/>
  </si>
  <si>
    <t>パルキア</t>
  </si>
  <si>
    <t>パルキア</t>
    <phoneticPr fontId="1"/>
  </si>
  <si>
    <t>ヒードラン</t>
  </si>
  <si>
    <t>ヒードラン</t>
    <phoneticPr fontId="1"/>
  </si>
  <si>
    <t>ダークライ</t>
  </si>
  <si>
    <t>ダークライ</t>
    <phoneticPr fontId="1"/>
  </si>
  <si>
    <t>ジャローダ</t>
  </si>
  <si>
    <t>ジャローダ</t>
    <phoneticPr fontId="1"/>
  </si>
  <si>
    <t>ガマゲロゲ</t>
  </si>
  <si>
    <t>ガマゲロゲ</t>
    <phoneticPr fontId="1"/>
  </si>
  <si>
    <t>シュバルゴ</t>
  </si>
  <si>
    <t>シュバルゴ</t>
    <phoneticPr fontId="1"/>
  </si>
  <si>
    <t>ナットレイ</t>
  </si>
  <si>
    <t>ナットレイ</t>
    <phoneticPr fontId="1"/>
  </si>
  <si>
    <t>ChaChaChaChance</t>
    <phoneticPr fontId="1"/>
  </si>
  <si>
    <t>エレキブル</t>
  </si>
  <si>
    <t>エレキブル</t>
    <phoneticPr fontId="1"/>
  </si>
  <si>
    <t>snishimi</t>
    <phoneticPr fontId="1"/>
  </si>
  <si>
    <t>ハッサム</t>
    <phoneticPr fontId="1"/>
  </si>
  <si>
    <t>フシギバナ</t>
    <phoneticPr fontId="1"/>
  </si>
  <si>
    <t>攻撃</t>
    <rPh sb="0" eb="2">
      <t>コウゲキ</t>
    </rPh>
    <phoneticPr fontId="1"/>
  </si>
  <si>
    <t>防御</t>
    <rPh sb="0" eb="2">
      <t>ボウギョ</t>
    </rPh>
    <phoneticPr fontId="1"/>
  </si>
  <si>
    <t>HP</t>
    <phoneticPr fontId="1"/>
  </si>
  <si>
    <t>理想個体</t>
    <rPh sb="0" eb="2">
      <t>リソウ</t>
    </rPh>
    <rPh sb="2" eb="4">
      <t>コタイ</t>
    </rPh>
    <phoneticPr fontId="1"/>
  </si>
  <si>
    <t>ポケモン名</t>
    <rPh sb="4" eb="5">
      <t>メイ</t>
    </rPh>
    <phoneticPr fontId="1"/>
  </si>
  <si>
    <t>リーグ</t>
    <phoneticPr fontId="1"/>
  </si>
  <si>
    <t>日付</t>
    <rPh sb="0" eb="2">
      <t>ヒヅケ</t>
    </rPh>
    <phoneticPr fontId="1"/>
  </si>
  <si>
    <t>ランク</t>
    <phoneticPr fontId="1"/>
  </si>
  <si>
    <t>先発→控え</t>
    <rPh sb="0" eb="2">
      <t>センパツ</t>
    </rPh>
    <rPh sb="3" eb="4">
      <t>ヒカ</t>
    </rPh>
    <phoneticPr fontId="1"/>
  </si>
  <si>
    <t>J係数</t>
    <rPh sb="1" eb="3">
      <t>ケイスウ</t>
    </rPh>
    <phoneticPr fontId="1"/>
  </si>
  <si>
    <t>先発→控え/%</t>
    <rPh sb="0" eb="2">
      <t>センパツ</t>
    </rPh>
    <rPh sb="3" eb="4">
      <t>ヒカ</t>
    </rPh>
    <phoneticPr fontId="1"/>
  </si>
  <si>
    <t>ギラティナアナザー</t>
    <phoneticPr fontId="1"/>
  </si>
  <si>
    <t>おすすめ度</t>
    <rPh sb="4" eb="5">
      <t>ド</t>
    </rPh>
    <phoneticPr fontId="1"/>
  </si>
  <si>
    <t>GameWith</t>
    <phoneticPr fontId="1"/>
  </si>
  <si>
    <t>(D係数)</t>
    <rPh sb="2" eb="4">
      <t>ケイスウ</t>
    </rPh>
    <phoneticPr fontId="1"/>
  </si>
  <si>
    <t>D係数</t>
    <rPh sb="1" eb="3">
      <t>ケイスウ</t>
    </rPh>
    <phoneticPr fontId="1"/>
  </si>
  <si>
    <t>jaNiiiiiina</t>
    <phoneticPr fontId="1"/>
  </si>
  <si>
    <t>Lasseslda</t>
    <phoneticPr fontId="1"/>
  </si>
  <si>
    <t>ｄoglas77</t>
    <phoneticPr fontId="1"/>
  </si>
  <si>
    <t>マニューラ</t>
  </si>
  <si>
    <t>マニューラ</t>
    <phoneticPr fontId="1"/>
  </si>
  <si>
    <t>ハリテヤマ</t>
  </si>
  <si>
    <t>ハリテヤマ</t>
    <phoneticPr fontId="1"/>
  </si>
  <si>
    <t>ミロカロス</t>
  </si>
  <si>
    <t>ミロカロス</t>
    <phoneticPr fontId="1"/>
  </si>
  <si>
    <t>Mitchellcleve</t>
    <phoneticPr fontId="1"/>
  </si>
  <si>
    <t>リザードン</t>
    <phoneticPr fontId="1"/>
  </si>
  <si>
    <t>バタフリー</t>
  </si>
  <si>
    <t>スピアー</t>
  </si>
  <si>
    <t>ピジョット</t>
  </si>
  <si>
    <t>アローララッタ</t>
  </si>
  <si>
    <t>オニドリル</t>
  </si>
  <si>
    <t>アーボック</t>
  </si>
  <si>
    <t>サンドパン</t>
  </si>
  <si>
    <t>アローラサンドパン</t>
  </si>
  <si>
    <t>ニドクイン</t>
  </si>
  <si>
    <t>ニドキング</t>
  </si>
  <si>
    <t>キュウコン</t>
  </si>
  <si>
    <t>アローラキュウコン</t>
  </si>
  <si>
    <t>パラセクト</t>
  </si>
  <si>
    <t>ダグトリオ</t>
  </si>
  <si>
    <t>アローラダグトリオ</t>
  </si>
  <si>
    <t>アローラペルシアン</t>
  </si>
  <si>
    <t>ゴルダック</t>
  </si>
  <si>
    <t>オコリザル</t>
  </si>
  <si>
    <t>ウツボット</t>
  </si>
  <si>
    <t>ドククラゲ</t>
  </si>
  <si>
    <t>ゴローニャ</t>
  </si>
  <si>
    <t>アローラゴローニャ</t>
  </si>
  <si>
    <t>ギャロップ</t>
  </si>
  <si>
    <t>カモネギ</t>
  </si>
  <si>
    <t>ドードリオ</t>
  </si>
  <si>
    <t>ジュゴン</t>
  </si>
  <si>
    <t>パルシェン</t>
  </si>
  <si>
    <t>ゲンガー</t>
  </si>
  <si>
    <t>スリーパー</t>
  </si>
  <si>
    <t>キングラー</t>
  </si>
  <si>
    <t>ナッシー</t>
  </si>
  <si>
    <t>アローラナッシー</t>
  </si>
  <si>
    <t>ガラガラ</t>
  </si>
  <si>
    <t>サワムラー</t>
  </si>
  <si>
    <t>ガラルマタドガス</t>
  </si>
  <si>
    <t>ガルーラ</t>
  </si>
  <si>
    <t>アズマオウ</t>
  </si>
  <si>
    <t>スターミー</t>
  </si>
  <si>
    <t>バリヤード</t>
  </si>
  <si>
    <t>カイロス</t>
  </si>
  <si>
    <t>ケンタロス</t>
  </si>
  <si>
    <t>シャワーズ</t>
  </si>
  <si>
    <t>サンダース</t>
  </si>
  <si>
    <t>オムスター</t>
  </si>
  <si>
    <t>カブトプス</t>
  </si>
  <si>
    <t>カイリュー</t>
  </si>
  <si>
    <t>アーマードミュウツー</t>
  </si>
  <si>
    <t>オオタチ</t>
  </si>
  <si>
    <t>アリアドス</t>
  </si>
  <si>
    <t>クロバット</t>
  </si>
  <si>
    <t>ネイティオ</t>
  </si>
  <si>
    <t>キレイハナ</t>
  </si>
  <si>
    <t>ニョロトノ</t>
  </si>
  <si>
    <t>エイパム</t>
  </si>
  <si>
    <t>キマワリ</t>
  </si>
  <si>
    <t>ヌオー</t>
  </si>
  <si>
    <t>エーフィ</t>
  </si>
  <si>
    <t>アンノーン</t>
  </si>
  <si>
    <t>ソーナンス</t>
  </si>
  <si>
    <t>キリンリキ</t>
  </si>
  <si>
    <t>フォレトス</t>
  </si>
  <si>
    <t>ノコッチ</t>
  </si>
  <si>
    <t>グランブル</t>
  </si>
  <si>
    <t>ハリーセン</t>
  </si>
  <si>
    <t>ツボツボ</t>
  </si>
  <si>
    <t>イノムー</t>
  </si>
  <si>
    <t>サニーゴ</t>
  </si>
  <si>
    <t>オクタン</t>
  </si>
  <si>
    <t>デリバード</t>
  </si>
  <si>
    <t>ヘルガー</t>
  </si>
  <si>
    <t>ドンファン</t>
  </si>
  <si>
    <t>オドシシ</t>
  </si>
  <si>
    <t>カポエラー</t>
  </si>
  <si>
    <t>ハピナス</t>
  </si>
  <si>
    <t>グラエナ</t>
  </si>
  <si>
    <t>アゲハント</t>
  </si>
  <si>
    <t>ドクケイル</t>
  </si>
  <si>
    <t>オオスバメ</t>
  </si>
  <si>
    <t>アメモース</t>
  </si>
  <si>
    <t>ケッキング</t>
  </si>
  <si>
    <t>テッカニン</t>
  </si>
  <si>
    <t>バクオング</t>
  </si>
  <si>
    <t>ノズパス</t>
  </si>
  <si>
    <t>エネコロロ</t>
  </si>
  <si>
    <t>クチート</t>
  </si>
  <si>
    <t>バルビート</t>
  </si>
  <si>
    <t>イルミーゼ</t>
  </si>
  <si>
    <t>サメハダー</t>
  </si>
  <si>
    <t>バクーダ</t>
  </si>
  <si>
    <t>コータス</t>
  </si>
  <si>
    <t>ノクタス</t>
  </si>
  <si>
    <t>ザングース</t>
  </si>
  <si>
    <t>ハブネーク</t>
  </si>
  <si>
    <t>ルナトーン</t>
  </si>
  <si>
    <t>ソルロック</t>
  </si>
  <si>
    <t>シザリガー</t>
  </si>
  <si>
    <t>ネンドール</t>
  </si>
  <si>
    <t>アーマルド</t>
  </si>
  <si>
    <t>ジュペッタ</t>
  </si>
  <si>
    <t>チリーン</t>
  </si>
  <si>
    <t>アブソル</t>
  </si>
  <si>
    <t>トドゼルガ</t>
  </si>
  <si>
    <t>ハンテール</t>
  </si>
  <si>
    <t>サクラビス</t>
  </si>
  <si>
    <t>ジーランス</t>
  </si>
  <si>
    <t>グラードン</t>
  </si>
  <si>
    <t>デオキシス(ノーマルフォルム)</t>
  </si>
  <si>
    <t>ドダイトス</t>
  </si>
  <si>
    <t>ゴウカザル</t>
  </si>
  <si>
    <t>ビーダル</t>
  </si>
  <si>
    <t>ロズレイド</t>
  </si>
  <si>
    <t>ガーメイル</t>
  </si>
  <si>
    <t>ビークイン</t>
  </si>
  <si>
    <t>パチリス</t>
  </si>
  <si>
    <t>チェリム(ネガフォルム)</t>
  </si>
  <si>
    <t>チェリム(ポジフォルム)</t>
  </si>
  <si>
    <t>トリトドン(にしのうみ)</t>
  </si>
  <si>
    <t>トリトドン(ひがしのうみ)</t>
  </si>
  <si>
    <t>エテボース</t>
  </si>
  <si>
    <t>スカタンク</t>
  </si>
  <si>
    <t>ウソハチ</t>
  </si>
  <si>
    <t>ルカリオ</t>
  </si>
  <si>
    <t>カバルドン</t>
  </si>
  <si>
    <t>ネオラント</t>
  </si>
  <si>
    <t>ドサイドン</t>
  </si>
  <si>
    <t>グレイシア</t>
  </si>
  <si>
    <t>エルレイド</t>
  </si>
  <si>
    <t>ダイノーズ</t>
  </si>
  <si>
    <t>エムリット</t>
  </si>
  <si>
    <t>アグノム</t>
  </si>
  <si>
    <t>ギラティナ(オリジンフォルム)</t>
  </si>
  <si>
    <t>ギラティナ(アナザーフォルム)</t>
  </si>
  <si>
    <t>エンブオー</t>
  </si>
  <si>
    <t>ダイケンキ</t>
  </si>
  <si>
    <t>バオッキー</t>
  </si>
  <si>
    <t>ケンホロウ</t>
  </si>
  <si>
    <t>ゼブライカ</t>
  </si>
  <si>
    <t>ギガイアス</t>
  </si>
  <si>
    <t>ココロモリ</t>
  </si>
  <si>
    <t>ドリュウズ</t>
  </si>
  <si>
    <t>ナゲキ</t>
  </si>
  <si>
    <t>ダゲキ</t>
  </si>
  <si>
    <t>バスラオ(あかすじのすがた)</t>
  </si>
  <si>
    <t>バスラオ(あおすじのすがた)</t>
  </si>
  <si>
    <t>イワパレス</t>
  </si>
  <si>
    <t>ズルズキン</t>
  </si>
  <si>
    <t>シンボラー</t>
  </si>
  <si>
    <t>デスカーン</t>
  </si>
  <si>
    <t>アバゴーラ</t>
  </si>
  <si>
    <t>アーケオス</t>
  </si>
  <si>
    <t>ダストダス</t>
  </si>
  <si>
    <t>チラチーノ</t>
  </si>
  <si>
    <t>デンチュラ</t>
  </si>
  <si>
    <t>ギギギアル</t>
  </si>
  <si>
    <t>シャンデラ</t>
  </si>
  <si>
    <t>オノノクス</t>
  </si>
  <si>
    <t>ツンベアー</t>
  </si>
  <si>
    <t>アギルダー</t>
  </si>
  <si>
    <t>ゴルーグ</t>
  </si>
  <si>
    <t>クイタラン</t>
  </si>
  <si>
    <t>アイアント</t>
  </si>
  <si>
    <t>サザンドラ</t>
  </si>
  <si>
    <t>コバルオン</t>
  </si>
  <si>
    <t>テラキオン</t>
  </si>
  <si>
    <t>トルネロス(けしんフォルム)</t>
  </si>
  <si>
    <t>Aデオキシス</t>
    <phoneticPr fontId="1"/>
  </si>
  <si>
    <t>Dデオキシス</t>
    <phoneticPr fontId="1"/>
  </si>
  <si>
    <t>デオキシス(スピードフォルム)</t>
    <phoneticPr fontId="1"/>
  </si>
  <si>
    <t>アーケン</t>
  </si>
  <si>
    <t>ロゼリア</t>
  </si>
  <si>
    <t>ファイアー</t>
  </si>
  <si>
    <t>なんだっけ？　悪っぽい鳥</t>
  </si>
  <si>
    <t>SUPERmichiokun</t>
    <phoneticPr fontId="1"/>
  </si>
  <si>
    <t>rx78f5</t>
    <phoneticPr fontId="1"/>
  </si>
  <si>
    <t>MinMintee</t>
    <phoneticPr fontId="1"/>
  </si>
  <si>
    <t>jtPKM2</t>
    <phoneticPr fontId="1"/>
  </si>
  <si>
    <t>ULTRALIGHT45</t>
    <phoneticPr fontId="1"/>
  </si>
  <si>
    <t>グランブル</t>
    <phoneticPr fontId="1"/>
  </si>
  <si>
    <t>foooin</t>
    <phoneticPr fontId="1"/>
  </si>
  <si>
    <t>アーマードミューツー</t>
    <phoneticPr fontId="1"/>
  </si>
  <si>
    <t>ギラティナアナザー</t>
    <phoneticPr fontId="1"/>
  </si>
  <si>
    <t>ロズレイド</t>
    <phoneticPr fontId="1"/>
  </si>
  <si>
    <t>ROGER13augusto</t>
    <phoneticPr fontId="1"/>
  </si>
  <si>
    <t>killerpoz</t>
    <phoneticPr fontId="1"/>
  </si>
  <si>
    <t>Jedemiok</t>
    <phoneticPr fontId="1"/>
  </si>
  <si>
    <t>トゲキッス</t>
    <phoneticPr fontId="1"/>
  </si>
  <si>
    <t>ミューツー</t>
  </si>
  <si>
    <t>ミューツー</t>
    <phoneticPr fontId="1"/>
  </si>
  <si>
    <t>puni0705</t>
    <phoneticPr fontId="1"/>
  </si>
  <si>
    <t>オムスター</t>
    <phoneticPr fontId="1"/>
  </si>
  <si>
    <t>ディアルガ</t>
    <phoneticPr fontId="1"/>
  </si>
  <si>
    <t>ギラティナアナザー</t>
    <phoneticPr fontId="1"/>
  </si>
  <si>
    <t>ChanandleerBong</t>
    <phoneticPr fontId="1"/>
  </si>
  <si>
    <t>ルカリオ</t>
    <phoneticPr fontId="1"/>
  </si>
  <si>
    <t>funaya25</t>
    <phoneticPr fontId="1"/>
  </si>
  <si>
    <t>トゲキッス</t>
    <phoneticPr fontId="1"/>
  </si>
  <si>
    <t>ギラティナアナザー</t>
    <phoneticPr fontId="1"/>
  </si>
  <si>
    <t>ハガネール</t>
    <phoneticPr fontId="1"/>
  </si>
  <si>
    <t>FeasulGrey</t>
    <phoneticPr fontId="1"/>
  </si>
  <si>
    <t>トゲキッス</t>
    <phoneticPr fontId="1"/>
  </si>
  <si>
    <t>カイリュー</t>
    <phoneticPr fontId="1"/>
  </si>
  <si>
    <t>カイリキー</t>
    <phoneticPr fontId="1"/>
  </si>
  <si>
    <t>xGIRAFFEBLUESx</t>
    <phoneticPr fontId="1"/>
  </si>
  <si>
    <t>カビゴン</t>
    <phoneticPr fontId="1"/>
  </si>
  <si>
    <t>ギラティナアナザー</t>
    <phoneticPr fontId="1"/>
  </si>
  <si>
    <t>ドラゴンクロー</t>
    <phoneticPr fontId="1"/>
  </si>
  <si>
    <t>かげうち</t>
    <phoneticPr fontId="1"/>
  </si>
  <si>
    <t>LoupdelaButte</t>
    <phoneticPr fontId="1"/>
  </si>
  <si>
    <t>フシギバナ</t>
    <phoneticPr fontId="1"/>
  </si>
  <si>
    <t>ゲンガー</t>
    <phoneticPr fontId="1"/>
  </si>
  <si>
    <t>v1ckinf</t>
    <phoneticPr fontId="1"/>
  </si>
  <si>
    <t>キングドラ</t>
    <phoneticPr fontId="1"/>
  </si>
  <si>
    <t>リザードン</t>
    <phoneticPr fontId="1"/>
  </si>
  <si>
    <t>ロズレイド</t>
    <phoneticPr fontId="1"/>
  </si>
  <si>
    <t>bigfish1021</t>
    <phoneticPr fontId="1"/>
  </si>
  <si>
    <t>ミューツー</t>
    <phoneticPr fontId="1"/>
  </si>
  <si>
    <t>クレセリア</t>
    <phoneticPr fontId="1"/>
  </si>
  <si>
    <t>VITAtencho</t>
    <phoneticPr fontId="1"/>
  </si>
  <si>
    <t>ハガネール</t>
    <phoneticPr fontId="1"/>
  </si>
  <si>
    <t>icegucchi</t>
    <phoneticPr fontId="1"/>
  </si>
  <si>
    <t>ジュカイン</t>
    <phoneticPr fontId="1"/>
  </si>
  <si>
    <t>ラティアス</t>
    <phoneticPr fontId="1"/>
  </si>
  <si>
    <t>メルメタル</t>
  </si>
  <si>
    <t>メルメタル</t>
    <phoneticPr fontId="1"/>
  </si>
  <si>
    <t>tamtam3386</t>
    <phoneticPr fontId="1"/>
  </si>
  <si>
    <t>グランブル</t>
    <phoneticPr fontId="1"/>
  </si>
  <si>
    <t>ファイアー</t>
    <phoneticPr fontId="1"/>
  </si>
  <si>
    <t>Kingcats37</t>
    <phoneticPr fontId="1"/>
  </si>
  <si>
    <t>ギラティナ</t>
  </si>
  <si>
    <t>ギラティナ</t>
    <phoneticPr fontId="1"/>
  </si>
  <si>
    <t>TSILVER925</t>
    <phoneticPr fontId="1"/>
  </si>
  <si>
    <t>リザードン</t>
    <phoneticPr fontId="1"/>
  </si>
  <si>
    <t>IzumiKaworu</t>
    <phoneticPr fontId="1"/>
  </si>
  <si>
    <t>ボスゴドラ</t>
  </si>
  <si>
    <t>ボスゴドラ</t>
    <phoneticPr fontId="1"/>
  </si>
  <si>
    <t>メガニウム</t>
    <phoneticPr fontId="1"/>
  </si>
  <si>
    <t>H</t>
  </si>
  <si>
    <t>先発技1</t>
    <rPh sb="0" eb="2">
      <t>センパツ</t>
    </rPh>
    <rPh sb="2" eb="3">
      <t>ワザ</t>
    </rPh>
    <phoneticPr fontId="1"/>
  </si>
  <si>
    <t>控え1</t>
    <rPh sb="0" eb="1">
      <t>ヒカ</t>
    </rPh>
    <phoneticPr fontId="1"/>
  </si>
  <si>
    <t>控え2</t>
    <rPh sb="0" eb="1">
      <t>ヒカ</t>
    </rPh>
    <phoneticPr fontId="1"/>
  </si>
  <si>
    <t>控え2技1</t>
    <rPh sb="0" eb="1">
      <t>ヒカ</t>
    </rPh>
    <rPh sb="3" eb="4">
      <t>ワザ</t>
    </rPh>
    <phoneticPr fontId="1"/>
  </si>
  <si>
    <t>控え2技2</t>
    <rPh sb="0" eb="1">
      <t>ヒカ</t>
    </rPh>
    <rPh sb="3" eb="4">
      <t>ワザ</t>
    </rPh>
    <phoneticPr fontId="1"/>
  </si>
  <si>
    <t>控え1技1</t>
    <rPh sb="0" eb="1">
      <t>ヒカ</t>
    </rPh>
    <rPh sb="3" eb="4">
      <t>ワザ</t>
    </rPh>
    <phoneticPr fontId="1"/>
  </si>
  <si>
    <t>控え1技2</t>
    <rPh sb="0" eb="1">
      <t>ヒカ</t>
    </rPh>
    <rPh sb="3" eb="4">
      <t>ワザ</t>
    </rPh>
    <phoneticPr fontId="1"/>
  </si>
  <si>
    <t>先発技2</t>
    <rPh sb="0" eb="2">
      <t>センパツ</t>
    </rPh>
    <rPh sb="2" eb="3">
      <t>ワザ</t>
    </rPh>
    <phoneticPr fontId="1"/>
  </si>
  <si>
    <t>バルビート</t>
    <phoneticPr fontId="1"/>
  </si>
  <si>
    <t>takumieric</t>
    <phoneticPr fontId="1"/>
  </si>
  <si>
    <t>ラプラス</t>
    <phoneticPr fontId="1"/>
  </si>
  <si>
    <t>トゲキッス</t>
    <phoneticPr fontId="1"/>
  </si>
  <si>
    <t>ギラティナアナザー</t>
    <phoneticPr fontId="1"/>
  </si>
  <si>
    <t>ラグラージ</t>
    <phoneticPr fontId="1"/>
  </si>
  <si>
    <t>-</t>
    <phoneticPr fontId="1"/>
  </si>
  <si>
    <t>YoviAvianto13</t>
    <phoneticPr fontId="1"/>
  </si>
  <si>
    <t>リザードン</t>
    <phoneticPr fontId="1"/>
  </si>
  <si>
    <t>フシギバナ</t>
    <phoneticPr fontId="1"/>
  </si>
  <si>
    <t>HAMIMA3</t>
    <phoneticPr fontId="1"/>
  </si>
  <si>
    <t>ラグラージ</t>
    <phoneticPr fontId="1"/>
  </si>
  <si>
    <t>チルタリス</t>
    <phoneticPr fontId="1"/>
  </si>
  <si>
    <t>エアームド</t>
    <phoneticPr fontId="1"/>
  </si>
  <si>
    <t>マリルリ</t>
    <phoneticPr fontId="1"/>
  </si>
  <si>
    <t>レジスチル</t>
    <phoneticPr fontId="1"/>
  </si>
  <si>
    <t>ナマズン</t>
    <phoneticPr fontId="1"/>
  </si>
  <si>
    <t>トリデプス</t>
    <phoneticPr fontId="1"/>
  </si>
  <si>
    <t>ラグラージ</t>
    <phoneticPr fontId="1"/>
  </si>
  <si>
    <t>トゲキッス</t>
    <phoneticPr fontId="1"/>
  </si>
  <si>
    <t>カビゴン</t>
    <phoneticPr fontId="1"/>
  </si>
  <si>
    <t>ギラティナアナザー</t>
    <phoneticPr fontId="1"/>
  </si>
  <si>
    <t>ルカリオ</t>
    <phoneticPr fontId="1"/>
  </si>
  <si>
    <t>ハガネール</t>
    <phoneticPr fontId="1"/>
  </si>
  <si>
    <t>フシギバナ</t>
    <phoneticPr fontId="1"/>
  </si>
  <si>
    <t>リザードン</t>
    <phoneticPr fontId="1"/>
  </si>
  <si>
    <t>カイリキー</t>
    <phoneticPr fontId="1"/>
  </si>
  <si>
    <t>トゲキッス</t>
    <phoneticPr fontId="1"/>
  </si>
  <si>
    <t>マンムー</t>
    <phoneticPr fontId="1"/>
  </si>
  <si>
    <t>クレセリア</t>
    <phoneticPr fontId="1"/>
  </si>
  <si>
    <t>フシギバナ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</si>
</sst>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_);[Red]\(0\)"/>
    <numFmt numFmtId="177" formatCode="0.0_ "/>
    <numFmt numFmtId="178" formatCode="0.0%"/>
    <numFmt numFmtId="179" formatCode="0.00_ "/>
  </numFmts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4"/>
      <color rgb="FF333333"/>
      <name val="メイリオ"/>
      <family val="3"/>
      <charset val="128"/>
    </font>
    <font>
      <sz val="14"/>
      <color rgb="FF333333"/>
      <name val="メイリオ"/>
      <family val="3"/>
      <charset val="128"/>
    </font>
    <font>
      <b/>
      <sz val="11"/>
      <color theme="0"/>
      <name val="ＭＳ Ｐ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6F6F6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 style="medium">
        <color rgb="FFD6D6D6"/>
      </top>
      <bottom/>
      <diagonal/>
    </border>
    <border>
      <left/>
      <right/>
      <top style="medium">
        <color rgb="FFD6D6D6"/>
      </top>
      <bottom style="medium">
        <color rgb="FFD6D6D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56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/>
    </xf>
    <xf numFmtId="3" fontId="3" fillId="0" borderId="1" xfId="0" applyNumberFormat="1" applyFont="1" applyBorder="1" applyAlignment="1">
      <alignment vertical="center" wrapText="1"/>
    </xf>
    <xf numFmtId="0" fontId="2" fillId="2" borderId="2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0" borderId="3" xfId="0" applyBorder="1" applyAlignment="1">
      <alignment horizontal="center" vertical="center"/>
    </xf>
    <xf numFmtId="56" fontId="0" fillId="0" borderId="3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0" fillId="4" borderId="6" xfId="0" applyFont="1" applyFill="1" applyBorder="1" applyAlignment="1">
      <alignment horizontal="center" vertical="center"/>
    </xf>
    <xf numFmtId="0" fontId="0" fillId="4" borderId="5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0" fillId="0" borderId="3" xfId="0" applyBorder="1">
      <alignment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178" fontId="0" fillId="0" borderId="0" xfId="0" applyNumberFormat="1">
      <alignment vertical="center"/>
    </xf>
    <xf numFmtId="0" fontId="4" fillId="3" borderId="4" xfId="0" applyFont="1" applyFill="1" applyBorder="1" applyAlignment="1">
      <alignment horizontal="center" vertical="center"/>
    </xf>
    <xf numFmtId="179" fontId="0" fillId="0" borderId="0" xfId="0" applyNumberFormat="1">
      <alignment vertical="center"/>
    </xf>
    <xf numFmtId="179" fontId="0" fillId="0" borderId="3" xfId="0" applyNumberFormat="1" applyBorder="1" applyAlignment="1">
      <alignment horizontal="center" vertical="center"/>
    </xf>
    <xf numFmtId="179" fontId="0" fillId="0" borderId="3" xfId="0" applyNumberFormat="1" applyBorder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3" fillId="0" borderId="2" xfId="0" applyFont="1" applyBorder="1" applyAlignment="1">
      <alignment vertical="center" wrapText="1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0" fillId="7" borderId="0" xfId="0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先発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3493354834068189"/>
          <c:y val="0.11902185972344922"/>
          <c:w val="0.44475609551905093"/>
          <c:h val="0.832844299947214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S!$A$2:$A$49</c:f>
              <c:strCache>
                <c:ptCount val="48"/>
                <c:pt idx="0">
                  <c:v>チルタリス</c:v>
                </c:pt>
                <c:pt idx="1">
                  <c:v>マリルリ</c:v>
                </c:pt>
                <c:pt idx="2">
                  <c:v>エアームド</c:v>
                </c:pt>
                <c:pt idx="3">
                  <c:v>レジスチル</c:v>
                </c:pt>
                <c:pt idx="4">
                  <c:v>アローラライチュウ</c:v>
                </c:pt>
                <c:pt idx="5">
                  <c:v>ラプラス</c:v>
                </c:pt>
                <c:pt idx="6">
                  <c:v>ナマズン</c:v>
                </c:pt>
                <c:pt idx="7">
                  <c:v>トリデプス</c:v>
                </c:pt>
                <c:pt idx="8">
                  <c:v>ラフレシア</c:v>
                </c:pt>
                <c:pt idx="9">
                  <c:v>ラグラージ</c:v>
                </c:pt>
                <c:pt idx="10">
                  <c:v>フシギバナ</c:v>
                </c:pt>
                <c:pt idx="11">
                  <c:v>チャーレム</c:v>
                </c:pt>
                <c:pt idx="12">
                  <c:v>メガニウム</c:v>
                </c:pt>
                <c:pt idx="13">
                  <c:v>ライチュウ</c:v>
                </c:pt>
                <c:pt idx="14">
                  <c:v>ハガネール</c:v>
                </c:pt>
                <c:pt idx="15">
                  <c:v>フワライド</c:v>
                </c:pt>
                <c:pt idx="16">
                  <c:v>ジラーチ</c:v>
                </c:pt>
                <c:pt idx="17">
                  <c:v>ピクシー</c:v>
                </c:pt>
                <c:pt idx="18">
                  <c:v>カイリキー</c:v>
                </c:pt>
                <c:pt idx="19">
                  <c:v>エネコロロ</c:v>
                </c:pt>
                <c:pt idx="20">
                  <c:v>ルナトーン</c:v>
                </c:pt>
                <c:pt idx="21">
                  <c:v>ルカリオ</c:v>
                </c:pt>
                <c:pt idx="22">
                  <c:v>スリーパー</c:v>
                </c:pt>
                <c:pt idx="23">
                  <c:v>エビワラー</c:v>
                </c:pt>
                <c:pt idx="24">
                  <c:v>ゴースト</c:v>
                </c:pt>
                <c:pt idx="25">
                  <c:v>アローラベトベトン</c:v>
                </c:pt>
                <c:pt idx="26">
                  <c:v>マイナン</c:v>
                </c:pt>
                <c:pt idx="27">
                  <c:v>ラティアス</c:v>
                </c:pt>
                <c:pt idx="28">
                  <c:v>Dデオキシス</c:v>
                </c:pt>
                <c:pt idx="29">
                  <c:v>アローラガラガラ</c:v>
                </c:pt>
                <c:pt idx="30">
                  <c:v>ランターン</c:v>
                </c:pt>
                <c:pt idx="31">
                  <c:v>ダイノーズ</c:v>
                </c:pt>
                <c:pt idx="32">
                  <c:v>ヘルガー</c:v>
                </c:pt>
                <c:pt idx="33">
                  <c:v>アーケン</c:v>
                </c:pt>
                <c:pt idx="34">
                  <c:v>フォレトス</c:v>
                </c:pt>
                <c:pt idx="35">
                  <c:v>ロゼリア</c:v>
                </c:pt>
                <c:pt idx="36">
                  <c:v>ファイアー</c:v>
                </c:pt>
                <c:pt idx="37">
                  <c:v>ライコウ</c:v>
                </c:pt>
                <c:pt idx="38">
                  <c:v>ドクロッグ</c:v>
                </c:pt>
                <c:pt idx="39">
                  <c:v>ズルッグ</c:v>
                </c:pt>
                <c:pt idx="40">
                  <c:v>ブラッキー</c:v>
                </c:pt>
                <c:pt idx="41">
                  <c:v>ヤルキモノ</c:v>
                </c:pt>
                <c:pt idx="42">
                  <c:v>オニゴーリ</c:v>
                </c:pt>
                <c:pt idx="43">
                  <c:v>キングドラ</c:v>
                </c:pt>
                <c:pt idx="44">
                  <c:v>セレビィ</c:v>
                </c:pt>
                <c:pt idx="45">
                  <c:v>エンペルト</c:v>
                </c:pt>
                <c:pt idx="46">
                  <c:v>ヨノワール</c:v>
                </c:pt>
                <c:pt idx="47">
                  <c:v>コドラ</c:v>
                </c:pt>
              </c:strCache>
            </c:strRef>
          </c:cat>
          <c:val>
            <c:numRef>
              <c:f>S!$B$2:$B$49</c:f>
              <c:numCache>
                <c:formatCode>General</c:formatCode>
                <c:ptCount val="48"/>
                <c:pt idx="0">
                  <c:v>9</c:v>
                </c:pt>
                <c:pt idx="1">
                  <c:v>8</c:v>
                </c:pt>
                <c:pt idx="2">
                  <c:v>5</c:v>
                </c:pt>
                <c:pt idx="3">
                  <c:v>5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1382595898843439"/>
          <c:y val="0.16146956714687954"/>
          <c:w val="0.29732925453440945"/>
          <c:h val="0.531183103201743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控え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3493354834068189"/>
          <c:y val="0.11902185972344922"/>
          <c:w val="0.44475609551905093"/>
          <c:h val="0.832844299947214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S!$A$2:$A$52</c:f>
              <c:strCache>
                <c:ptCount val="51"/>
                <c:pt idx="0">
                  <c:v>チルタリス</c:v>
                </c:pt>
                <c:pt idx="1">
                  <c:v>マリルリ</c:v>
                </c:pt>
                <c:pt idx="2">
                  <c:v>エアームド</c:v>
                </c:pt>
                <c:pt idx="3">
                  <c:v>レジスチル</c:v>
                </c:pt>
                <c:pt idx="4">
                  <c:v>アローラライチュウ</c:v>
                </c:pt>
                <c:pt idx="5">
                  <c:v>ラプラス</c:v>
                </c:pt>
                <c:pt idx="6">
                  <c:v>ナマズン</c:v>
                </c:pt>
                <c:pt idx="7">
                  <c:v>トリデプス</c:v>
                </c:pt>
                <c:pt idx="8">
                  <c:v>ラフレシア</c:v>
                </c:pt>
                <c:pt idx="9">
                  <c:v>ラグラージ</c:v>
                </c:pt>
                <c:pt idx="10">
                  <c:v>フシギバナ</c:v>
                </c:pt>
                <c:pt idx="11">
                  <c:v>チャーレム</c:v>
                </c:pt>
                <c:pt idx="12">
                  <c:v>メガニウム</c:v>
                </c:pt>
                <c:pt idx="13">
                  <c:v>ライチュウ</c:v>
                </c:pt>
                <c:pt idx="14">
                  <c:v>ハガネール</c:v>
                </c:pt>
                <c:pt idx="15">
                  <c:v>フワライド</c:v>
                </c:pt>
                <c:pt idx="16">
                  <c:v>ジラーチ</c:v>
                </c:pt>
                <c:pt idx="17">
                  <c:v>ピクシー</c:v>
                </c:pt>
                <c:pt idx="18">
                  <c:v>カイリキー</c:v>
                </c:pt>
                <c:pt idx="19">
                  <c:v>エネコロロ</c:v>
                </c:pt>
                <c:pt idx="20">
                  <c:v>ルナトーン</c:v>
                </c:pt>
                <c:pt idx="21">
                  <c:v>ルカリオ</c:v>
                </c:pt>
                <c:pt idx="22">
                  <c:v>スリーパー</c:v>
                </c:pt>
                <c:pt idx="23">
                  <c:v>エビワラー</c:v>
                </c:pt>
                <c:pt idx="24">
                  <c:v>ゴースト</c:v>
                </c:pt>
                <c:pt idx="25">
                  <c:v>アローラベトベトン</c:v>
                </c:pt>
                <c:pt idx="26">
                  <c:v>マイナン</c:v>
                </c:pt>
                <c:pt idx="27">
                  <c:v>ラティアス</c:v>
                </c:pt>
                <c:pt idx="28">
                  <c:v>Dデオキシス</c:v>
                </c:pt>
                <c:pt idx="29">
                  <c:v>アローラガラガラ</c:v>
                </c:pt>
                <c:pt idx="30">
                  <c:v>ランターン</c:v>
                </c:pt>
                <c:pt idx="31">
                  <c:v>ダイノーズ</c:v>
                </c:pt>
                <c:pt idx="32">
                  <c:v>ヘルガー</c:v>
                </c:pt>
                <c:pt idx="33">
                  <c:v>アーケン</c:v>
                </c:pt>
                <c:pt idx="34">
                  <c:v>フォレトス</c:v>
                </c:pt>
                <c:pt idx="35">
                  <c:v>ロゼリア</c:v>
                </c:pt>
                <c:pt idx="36">
                  <c:v>ファイアー</c:v>
                </c:pt>
                <c:pt idx="37">
                  <c:v>ライコウ</c:v>
                </c:pt>
                <c:pt idx="38">
                  <c:v>ドクロッグ</c:v>
                </c:pt>
                <c:pt idx="39">
                  <c:v>ズルッグ</c:v>
                </c:pt>
                <c:pt idx="40">
                  <c:v>ブラッキー</c:v>
                </c:pt>
                <c:pt idx="41">
                  <c:v>ヤルキモノ</c:v>
                </c:pt>
                <c:pt idx="42">
                  <c:v>オニゴーリ</c:v>
                </c:pt>
                <c:pt idx="43">
                  <c:v>キングドラ</c:v>
                </c:pt>
                <c:pt idx="44">
                  <c:v>セレビィ</c:v>
                </c:pt>
                <c:pt idx="45">
                  <c:v>エンペルト</c:v>
                </c:pt>
                <c:pt idx="46">
                  <c:v>ヨノワール</c:v>
                </c:pt>
                <c:pt idx="47">
                  <c:v>コドラ</c:v>
                </c:pt>
                <c:pt idx="48">
                  <c:v>トロピウス</c:v>
                </c:pt>
                <c:pt idx="49">
                  <c:v>ドータクン</c:v>
                </c:pt>
                <c:pt idx="50">
                  <c:v>コロトック</c:v>
                </c:pt>
              </c:strCache>
            </c:strRef>
          </c:cat>
          <c:val>
            <c:numRef>
              <c:f>S!$C$2:$C$52</c:f>
              <c:numCache>
                <c:formatCode>General</c:formatCode>
                <c:ptCount val="51"/>
                <c:pt idx="0">
                  <c:v>17</c:v>
                </c:pt>
                <c:pt idx="1">
                  <c:v>15</c:v>
                </c:pt>
                <c:pt idx="2">
                  <c:v>7</c:v>
                </c:pt>
                <c:pt idx="3">
                  <c:v>4</c:v>
                </c:pt>
                <c:pt idx="4">
                  <c:v>0</c:v>
                </c:pt>
                <c:pt idx="5">
                  <c:v>1</c:v>
                </c:pt>
                <c:pt idx="6">
                  <c:v>8</c:v>
                </c:pt>
                <c:pt idx="7">
                  <c:v>6</c:v>
                </c:pt>
                <c:pt idx="8">
                  <c:v>0</c:v>
                </c:pt>
                <c:pt idx="9">
                  <c:v>7</c:v>
                </c:pt>
                <c:pt idx="10">
                  <c:v>5</c:v>
                </c:pt>
                <c:pt idx="11">
                  <c:v>4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1616107943268217"/>
          <c:y val="0.16146956714687954"/>
          <c:w val="0.29499415042535593"/>
          <c:h val="0.640462689905399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先発＋控え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3493354834068189"/>
          <c:y val="0.11902185972344922"/>
          <c:w val="0.44475609551905093"/>
          <c:h val="0.832844299947214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S!$A$2:$A$51</c:f>
              <c:strCache>
                <c:ptCount val="50"/>
                <c:pt idx="0">
                  <c:v>チルタリス</c:v>
                </c:pt>
                <c:pt idx="1">
                  <c:v>マリルリ</c:v>
                </c:pt>
                <c:pt idx="2">
                  <c:v>エアームド</c:v>
                </c:pt>
                <c:pt idx="3">
                  <c:v>レジスチル</c:v>
                </c:pt>
                <c:pt idx="4">
                  <c:v>アローラライチュウ</c:v>
                </c:pt>
                <c:pt idx="5">
                  <c:v>ラプラス</c:v>
                </c:pt>
                <c:pt idx="6">
                  <c:v>ナマズン</c:v>
                </c:pt>
                <c:pt idx="7">
                  <c:v>トリデプス</c:v>
                </c:pt>
                <c:pt idx="8">
                  <c:v>ラフレシア</c:v>
                </c:pt>
                <c:pt idx="9">
                  <c:v>ラグラージ</c:v>
                </c:pt>
                <c:pt idx="10">
                  <c:v>フシギバナ</c:v>
                </c:pt>
                <c:pt idx="11">
                  <c:v>チャーレム</c:v>
                </c:pt>
                <c:pt idx="12">
                  <c:v>メガニウム</c:v>
                </c:pt>
                <c:pt idx="13">
                  <c:v>ライチュウ</c:v>
                </c:pt>
                <c:pt idx="14">
                  <c:v>ハガネール</c:v>
                </c:pt>
                <c:pt idx="15">
                  <c:v>フワライド</c:v>
                </c:pt>
                <c:pt idx="16">
                  <c:v>ジラーチ</c:v>
                </c:pt>
                <c:pt idx="17">
                  <c:v>ピクシー</c:v>
                </c:pt>
                <c:pt idx="18">
                  <c:v>カイリキー</c:v>
                </c:pt>
                <c:pt idx="19">
                  <c:v>エネコロロ</c:v>
                </c:pt>
                <c:pt idx="20">
                  <c:v>ルナトーン</c:v>
                </c:pt>
                <c:pt idx="21">
                  <c:v>ルカリオ</c:v>
                </c:pt>
                <c:pt idx="22">
                  <c:v>スリーパー</c:v>
                </c:pt>
                <c:pt idx="23">
                  <c:v>エビワラー</c:v>
                </c:pt>
                <c:pt idx="24">
                  <c:v>ゴースト</c:v>
                </c:pt>
                <c:pt idx="25">
                  <c:v>アローラベトベトン</c:v>
                </c:pt>
                <c:pt idx="26">
                  <c:v>マイナン</c:v>
                </c:pt>
                <c:pt idx="27">
                  <c:v>ラティアス</c:v>
                </c:pt>
                <c:pt idx="28">
                  <c:v>Dデオキシス</c:v>
                </c:pt>
                <c:pt idx="29">
                  <c:v>アローラガラガラ</c:v>
                </c:pt>
                <c:pt idx="30">
                  <c:v>ランターン</c:v>
                </c:pt>
                <c:pt idx="31">
                  <c:v>ダイノーズ</c:v>
                </c:pt>
                <c:pt idx="32">
                  <c:v>ヘルガー</c:v>
                </c:pt>
                <c:pt idx="33">
                  <c:v>アーケン</c:v>
                </c:pt>
                <c:pt idx="34">
                  <c:v>フォレトス</c:v>
                </c:pt>
                <c:pt idx="35">
                  <c:v>ロゼリア</c:v>
                </c:pt>
                <c:pt idx="36">
                  <c:v>ファイアー</c:v>
                </c:pt>
                <c:pt idx="37">
                  <c:v>ライコウ</c:v>
                </c:pt>
                <c:pt idx="38">
                  <c:v>ドクロッグ</c:v>
                </c:pt>
                <c:pt idx="39">
                  <c:v>ズルッグ</c:v>
                </c:pt>
                <c:pt idx="40">
                  <c:v>ブラッキー</c:v>
                </c:pt>
                <c:pt idx="41">
                  <c:v>ヤルキモノ</c:v>
                </c:pt>
                <c:pt idx="42">
                  <c:v>オニゴーリ</c:v>
                </c:pt>
                <c:pt idx="43">
                  <c:v>キングドラ</c:v>
                </c:pt>
                <c:pt idx="44">
                  <c:v>セレビィ</c:v>
                </c:pt>
                <c:pt idx="45">
                  <c:v>エンペルト</c:v>
                </c:pt>
                <c:pt idx="46">
                  <c:v>ヨノワール</c:v>
                </c:pt>
                <c:pt idx="47">
                  <c:v>コドラ</c:v>
                </c:pt>
                <c:pt idx="48">
                  <c:v>トロピウス</c:v>
                </c:pt>
                <c:pt idx="49">
                  <c:v>ドータクン</c:v>
                </c:pt>
              </c:strCache>
            </c:strRef>
          </c:cat>
          <c:val>
            <c:numRef>
              <c:f>S!$D$2:$D$51</c:f>
              <c:numCache>
                <c:formatCode>General</c:formatCode>
                <c:ptCount val="50"/>
                <c:pt idx="0">
                  <c:v>26</c:v>
                </c:pt>
                <c:pt idx="1">
                  <c:v>23</c:v>
                </c:pt>
                <c:pt idx="2">
                  <c:v>12</c:v>
                </c:pt>
                <c:pt idx="3">
                  <c:v>9</c:v>
                </c:pt>
                <c:pt idx="4">
                  <c:v>4</c:v>
                </c:pt>
                <c:pt idx="5">
                  <c:v>4</c:v>
                </c:pt>
                <c:pt idx="6">
                  <c:v>10</c:v>
                </c:pt>
                <c:pt idx="7">
                  <c:v>8</c:v>
                </c:pt>
                <c:pt idx="8">
                  <c:v>2</c:v>
                </c:pt>
                <c:pt idx="9">
                  <c:v>8</c:v>
                </c:pt>
                <c:pt idx="10">
                  <c:v>6</c:v>
                </c:pt>
                <c:pt idx="11">
                  <c:v>5</c:v>
                </c:pt>
                <c:pt idx="12">
                  <c:v>3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3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0632782094398696"/>
          <c:y val="0.16146956714687954"/>
          <c:w val="0.30482736866519777"/>
          <c:h val="0.706215088322323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ハイパーリーグ先発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3493354834068189"/>
          <c:y val="0.11902185972344922"/>
          <c:w val="0.44475609551905093"/>
          <c:h val="0.832844299947214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H!$A$2:$A$49</c:f>
              <c:strCache>
                <c:ptCount val="41"/>
                <c:pt idx="0">
                  <c:v>ギラティナアナザー</c:v>
                </c:pt>
                <c:pt idx="1">
                  <c:v>フシギバナ</c:v>
                </c:pt>
                <c:pt idx="2">
                  <c:v>トゲキッス</c:v>
                </c:pt>
                <c:pt idx="3">
                  <c:v>ラグラージ</c:v>
                </c:pt>
                <c:pt idx="4">
                  <c:v>カビゴン</c:v>
                </c:pt>
                <c:pt idx="5">
                  <c:v>ルカリオ</c:v>
                </c:pt>
                <c:pt idx="6">
                  <c:v>リザードン</c:v>
                </c:pt>
                <c:pt idx="7">
                  <c:v>ハガネール</c:v>
                </c:pt>
                <c:pt idx="8">
                  <c:v>カイリキー</c:v>
                </c:pt>
                <c:pt idx="9">
                  <c:v>マンムー</c:v>
                </c:pt>
                <c:pt idx="10">
                  <c:v>アーマードミューツー</c:v>
                </c:pt>
                <c:pt idx="11">
                  <c:v>ミューツー</c:v>
                </c:pt>
                <c:pt idx="12">
                  <c:v>ジュカイン</c:v>
                </c:pt>
                <c:pt idx="13">
                  <c:v>ディアルガ</c:v>
                </c:pt>
                <c:pt idx="14">
                  <c:v>ラプラス</c:v>
                </c:pt>
                <c:pt idx="15">
                  <c:v>エレキブル</c:v>
                </c:pt>
                <c:pt idx="16">
                  <c:v>マニューラ</c:v>
                </c:pt>
                <c:pt idx="17">
                  <c:v>バクフーン</c:v>
                </c:pt>
                <c:pt idx="18">
                  <c:v>オムスター</c:v>
                </c:pt>
                <c:pt idx="19">
                  <c:v>キングドラ</c:v>
                </c:pt>
                <c:pt idx="20">
                  <c:v>クレセリア</c:v>
                </c:pt>
                <c:pt idx="21">
                  <c:v>ロズレイド</c:v>
                </c:pt>
                <c:pt idx="22">
                  <c:v>グランブル</c:v>
                </c:pt>
                <c:pt idx="23">
                  <c:v>オーダイル</c:v>
                </c:pt>
                <c:pt idx="24">
                  <c:v>ハッサム</c:v>
                </c:pt>
                <c:pt idx="25">
                  <c:v>ヒードラン</c:v>
                </c:pt>
                <c:pt idx="26">
                  <c:v>ダークライ</c:v>
                </c:pt>
                <c:pt idx="27">
                  <c:v>ハリテヤマ</c:v>
                </c:pt>
                <c:pt idx="28">
                  <c:v>ミロカロス</c:v>
                </c:pt>
                <c:pt idx="29">
                  <c:v>ピクシー</c:v>
                </c:pt>
                <c:pt idx="30">
                  <c:v>ギャラドス</c:v>
                </c:pt>
                <c:pt idx="31">
                  <c:v>バシャーモ</c:v>
                </c:pt>
                <c:pt idx="32">
                  <c:v>カイリュー</c:v>
                </c:pt>
                <c:pt idx="33">
                  <c:v>ゲンガー</c:v>
                </c:pt>
                <c:pt idx="34">
                  <c:v>ラティアス</c:v>
                </c:pt>
                <c:pt idx="35">
                  <c:v>メルメタル</c:v>
                </c:pt>
                <c:pt idx="36">
                  <c:v>ファイアー</c:v>
                </c:pt>
                <c:pt idx="37">
                  <c:v>ギラティナ</c:v>
                </c:pt>
                <c:pt idx="38">
                  <c:v>ボスゴドラ</c:v>
                </c:pt>
                <c:pt idx="39">
                  <c:v>メガニウム</c:v>
                </c:pt>
                <c:pt idx="40">
                  <c:v>カバルドン</c:v>
                </c:pt>
              </c:strCache>
            </c:strRef>
          </c:cat>
          <c:val>
            <c:numRef>
              <c:f>H!$B$2:$B$49</c:f>
              <c:numCache>
                <c:formatCode>General</c:formatCode>
                <c:ptCount val="48"/>
                <c:pt idx="0">
                  <c:v>6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1382595898843439"/>
          <c:y val="0.16146956714687954"/>
          <c:w val="0.29732925453440945"/>
          <c:h val="0.531183103201743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ハイパーリーグ控え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3493354834068189"/>
          <c:y val="0.11902185972344922"/>
          <c:w val="0.44475609551905093"/>
          <c:h val="0.832844299947214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H!$A$2:$A$52</c:f>
              <c:strCache>
                <c:ptCount val="41"/>
                <c:pt idx="0">
                  <c:v>ギラティナアナザー</c:v>
                </c:pt>
                <c:pt idx="1">
                  <c:v>フシギバナ</c:v>
                </c:pt>
                <c:pt idx="2">
                  <c:v>トゲキッス</c:v>
                </c:pt>
                <c:pt idx="3">
                  <c:v>ラグラージ</c:v>
                </c:pt>
                <c:pt idx="4">
                  <c:v>カビゴン</c:v>
                </c:pt>
                <c:pt idx="5">
                  <c:v>ルカリオ</c:v>
                </c:pt>
                <c:pt idx="6">
                  <c:v>リザードン</c:v>
                </c:pt>
                <c:pt idx="7">
                  <c:v>ハガネール</c:v>
                </c:pt>
                <c:pt idx="8">
                  <c:v>カイリキー</c:v>
                </c:pt>
                <c:pt idx="9">
                  <c:v>マンムー</c:v>
                </c:pt>
                <c:pt idx="10">
                  <c:v>アーマードミューツー</c:v>
                </c:pt>
                <c:pt idx="11">
                  <c:v>ミューツー</c:v>
                </c:pt>
                <c:pt idx="12">
                  <c:v>ジュカイン</c:v>
                </c:pt>
                <c:pt idx="13">
                  <c:v>ディアルガ</c:v>
                </c:pt>
                <c:pt idx="14">
                  <c:v>ラプラス</c:v>
                </c:pt>
                <c:pt idx="15">
                  <c:v>エレキブル</c:v>
                </c:pt>
                <c:pt idx="16">
                  <c:v>マニューラ</c:v>
                </c:pt>
                <c:pt idx="17">
                  <c:v>バクフーン</c:v>
                </c:pt>
                <c:pt idx="18">
                  <c:v>オムスター</c:v>
                </c:pt>
                <c:pt idx="19">
                  <c:v>キングドラ</c:v>
                </c:pt>
                <c:pt idx="20">
                  <c:v>クレセリア</c:v>
                </c:pt>
                <c:pt idx="21">
                  <c:v>ロズレイド</c:v>
                </c:pt>
                <c:pt idx="22">
                  <c:v>グランブル</c:v>
                </c:pt>
                <c:pt idx="23">
                  <c:v>オーダイル</c:v>
                </c:pt>
                <c:pt idx="24">
                  <c:v>ハッサム</c:v>
                </c:pt>
                <c:pt idx="25">
                  <c:v>ヒードラン</c:v>
                </c:pt>
                <c:pt idx="26">
                  <c:v>ダークライ</c:v>
                </c:pt>
                <c:pt idx="27">
                  <c:v>ハリテヤマ</c:v>
                </c:pt>
                <c:pt idx="28">
                  <c:v>ミロカロス</c:v>
                </c:pt>
                <c:pt idx="29">
                  <c:v>ピクシー</c:v>
                </c:pt>
                <c:pt idx="30">
                  <c:v>ギャラドス</c:v>
                </c:pt>
                <c:pt idx="31">
                  <c:v>バシャーモ</c:v>
                </c:pt>
                <c:pt idx="32">
                  <c:v>カイリュー</c:v>
                </c:pt>
                <c:pt idx="33">
                  <c:v>ゲンガー</c:v>
                </c:pt>
                <c:pt idx="34">
                  <c:v>ラティアス</c:v>
                </c:pt>
                <c:pt idx="35">
                  <c:v>メルメタル</c:v>
                </c:pt>
                <c:pt idx="36">
                  <c:v>ファイアー</c:v>
                </c:pt>
                <c:pt idx="37">
                  <c:v>ギラティナ</c:v>
                </c:pt>
                <c:pt idx="38">
                  <c:v>ボスゴドラ</c:v>
                </c:pt>
                <c:pt idx="39">
                  <c:v>メガニウム</c:v>
                </c:pt>
                <c:pt idx="40">
                  <c:v>カバルドン</c:v>
                </c:pt>
              </c:strCache>
            </c:strRef>
          </c:cat>
          <c:val>
            <c:numRef>
              <c:f>H!$C$2:$C$52</c:f>
              <c:numCache>
                <c:formatCode>General</c:formatCode>
                <c:ptCount val="51"/>
                <c:pt idx="0">
                  <c:v>11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0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</c:v>
                </c:pt>
                <c:pt idx="21">
                  <c:v>2</c:v>
                </c:pt>
                <c:pt idx="22">
                  <c:v>2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1616107943268217"/>
          <c:y val="0.16146956714687954"/>
          <c:w val="0.29499415042535593"/>
          <c:h val="0.640462689905399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先発＋控え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3493354834068189"/>
          <c:y val="0.11902185972344922"/>
          <c:w val="0.44475609551905093"/>
          <c:h val="0.832844299947214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H!$A$2:$A$51</c:f>
              <c:strCache>
                <c:ptCount val="41"/>
                <c:pt idx="0">
                  <c:v>ギラティナアナザー</c:v>
                </c:pt>
                <c:pt idx="1">
                  <c:v>フシギバナ</c:v>
                </c:pt>
                <c:pt idx="2">
                  <c:v>トゲキッス</c:v>
                </c:pt>
                <c:pt idx="3">
                  <c:v>ラグラージ</c:v>
                </c:pt>
                <c:pt idx="4">
                  <c:v>カビゴン</c:v>
                </c:pt>
                <c:pt idx="5">
                  <c:v>ルカリオ</c:v>
                </c:pt>
                <c:pt idx="6">
                  <c:v>リザードン</c:v>
                </c:pt>
                <c:pt idx="7">
                  <c:v>ハガネール</c:v>
                </c:pt>
                <c:pt idx="8">
                  <c:v>カイリキー</c:v>
                </c:pt>
                <c:pt idx="9">
                  <c:v>マンムー</c:v>
                </c:pt>
                <c:pt idx="10">
                  <c:v>アーマードミューツー</c:v>
                </c:pt>
                <c:pt idx="11">
                  <c:v>ミューツー</c:v>
                </c:pt>
                <c:pt idx="12">
                  <c:v>ジュカイン</c:v>
                </c:pt>
                <c:pt idx="13">
                  <c:v>ディアルガ</c:v>
                </c:pt>
                <c:pt idx="14">
                  <c:v>ラプラス</c:v>
                </c:pt>
                <c:pt idx="15">
                  <c:v>エレキブル</c:v>
                </c:pt>
                <c:pt idx="16">
                  <c:v>マニューラ</c:v>
                </c:pt>
                <c:pt idx="17">
                  <c:v>バクフーン</c:v>
                </c:pt>
                <c:pt idx="18">
                  <c:v>オムスター</c:v>
                </c:pt>
                <c:pt idx="19">
                  <c:v>キングドラ</c:v>
                </c:pt>
                <c:pt idx="20">
                  <c:v>クレセリア</c:v>
                </c:pt>
                <c:pt idx="21">
                  <c:v>ロズレイド</c:v>
                </c:pt>
                <c:pt idx="22">
                  <c:v>グランブル</c:v>
                </c:pt>
                <c:pt idx="23">
                  <c:v>オーダイル</c:v>
                </c:pt>
                <c:pt idx="24">
                  <c:v>ハッサム</c:v>
                </c:pt>
                <c:pt idx="25">
                  <c:v>ヒードラン</c:v>
                </c:pt>
                <c:pt idx="26">
                  <c:v>ダークライ</c:v>
                </c:pt>
                <c:pt idx="27">
                  <c:v>ハリテヤマ</c:v>
                </c:pt>
                <c:pt idx="28">
                  <c:v>ミロカロス</c:v>
                </c:pt>
                <c:pt idx="29">
                  <c:v>ピクシー</c:v>
                </c:pt>
                <c:pt idx="30">
                  <c:v>ギャラドス</c:v>
                </c:pt>
                <c:pt idx="31">
                  <c:v>バシャーモ</c:v>
                </c:pt>
                <c:pt idx="32">
                  <c:v>カイリュー</c:v>
                </c:pt>
                <c:pt idx="33">
                  <c:v>ゲンガー</c:v>
                </c:pt>
                <c:pt idx="34">
                  <c:v>ラティアス</c:v>
                </c:pt>
                <c:pt idx="35">
                  <c:v>メルメタル</c:v>
                </c:pt>
                <c:pt idx="36">
                  <c:v>ファイアー</c:v>
                </c:pt>
                <c:pt idx="37">
                  <c:v>ギラティナ</c:v>
                </c:pt>
                <c:pt idx="38">
                  <c:v>ボスゴドラ</c:v>
                </c:pt>
                <c:pt idx="39">
                  <c:v>メガニウム</c:v>
                </c:pt>
                <c:pt idx="40">
                  <c:v>カバルドン</c:v>
                </c:pt>
              </c:strCache>
            </c:strRef>
          </c:cat>
          <c:val>
            <c:numRef>
              <c:f>H!$D$2:$D$51</c:f>
              <c:numCache>
                <c:formatCode>General</c:formatCode>
                <c:ptCount val="50"/>
                <c:pt idx="0">
                  <c:v>17</c:v>
                </c:pt>
                <c:pt idx="1">
                  <c:v>10</c:v>
                </c:pt>
                <c:pt idx="2">
                  <c:v>7</c:v>
                </c:pt>
                <c:pt idx="3">
                  <c:v>7</c:v>
                </c:pt>
                <c:pt idx="4">
                  <c:v>4</c:v>
                </c:pt>
                <c:pt idx="5">
                  <c:v>2</c:v>
                </c:pt>
                <c:pt idx="6">
                  <c:v>5</c:v>
                </c:pt>
                <c:pt idx="7">
                  <c:v>4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3</c:v>
                </c:pt>
                <c:pt idx="21">
                  <c:v>2</c:v>
                </c:pt>
                <c:pt idx="22">
                  <c:v>2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0632782094398696"/>
          <c:y val="0.16146956714687954"/>
          <c:w val="0.30482736866519777"/>
          <c:h val="0.706215088322323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先発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3493354834068189"/>
          <c:y val="0.11902185972344922"/>
          <c:w val="0.44475609551905093"/>
          <c:h val="0.832844299947214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numRef>
              <c:f>M!$A$2:$A$49</c:f>
              <c:numCache>
                <c:formatCode>General</c:formatCode>
                <c:ptCount val="48"/>
              </c:numCache>
            </c:numRef>
          </c:cat>
          <c:val>
            <c:numRef>
              <c:f>M!$B$2:$B$49</c:f>
              <c:numCache>
                <c:formatCode>General</c:formatCode>
                <c:ptCount val="48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1382595898843439"/>
          <c:y val="0.16146956714687954"/>
          <c:w val="0.29732925453440945"/>
          <c:h val="0.531183103201743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控え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3493354834068189"/>
          <c:y val="0.11902185972344922"/>
          <c:w val="0.44475609551905093"/>
          <c:h val="0.832844299947214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numRef>
              <c:f>M!$A$2:$A$52</c:f>
              <c:numCache>
                <c:formatCode>General</c:formatCode>
                <c:ptCount val="51"/>
              </c:numCache>
            </c:numRef>
          </c:cat>
          <c:val>
            <c:numRef>
              <c:f>M!$C$2:$C$52</c:f>
              <c:numCache>
                <c:formatCode>General</c:formatCode>
                <c:ptCount val="5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1616107943268217"/>
          <c:y val="0.16146956714687954"/>
          <c:w val="0.29499415042535593"/>
          <c:h val="0.640462689905399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先発＋控え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3493354834068189"/>
          <c:y val="0.11902185972344922"/>
          <c:w val="0.44475609551905093"/>
          <c:h val="0.832844299947214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numRef>
              <c:f>M!$A$2:$A$51</c:f>
              <c:numCache>
                <c:formatCode>General</c:formatCode>
                <c:ptCount val="50"/>
              </c:numCache>
            </c:numRef>
          </c:cat>
          <c:val>
            <c:numRef>
              <c:f>M!$D$2:$D$51</c:f>
              <c:numCache>
                <c:formatCode>General</c:formatCode>
                <c:ptCount val="50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0632782094398696"/>
          <c:y val="0.16146956714687954"/>
          <c:w val="0.30482736866519777"/>
          <c:h val="0.706215088322323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皆!$F$30:$AG$30</c:f>
              <c:strCache>
                <c:ptCount val="28"/>
                <c:pt idx="0">
                  <c:v>なお</c:v>
                </c:pt>
                <c:pt idx="3">
                  <c:v>ほり</c:v>
                </c:pt>
                <c:pt idx="6">
                  <c:v>さこん</c:v>
                </c:pt>
                <c:pt idx="9">
                  <c:v>まみ</c:v>
                </c:pt>
                <c:pt idx="12">
                  <c:v>ハルカス</c:v>
                </c:pt>
                <c:pt idx="15">
                  <c:v>すーちゃん</c:v>
                </c:pt>
                <c:pt idx="18">
                  <c:v>すぎ</c:v>
                </c:pt>
                <c:pt idx="21">
                  <c:v>あいのすけ</c:v>
                </c:pt>
                <c:pt idx="24">
                  <c:v>なかしー</c:v>
                </c:pt>
                <c:pt idx="27">
                  <c:v>しお</c:v>
                </c:pt>
              </c:strCache>
            </c:strRef>
          </c:cat>
          <c:val>
            <c:numRef>
              <c:f>皆!$F$33:$AG$33</c:f>
              <c:numCache>
                <c:formatCode>General</c:formatCode>
                <c:ptCount val="28"/>
                <c:pt idx="0">
                  <c:v>171749</c:v>
                </c:pt>
                <c:pt idx="3">
                  <c:v>1291692</c:v>
                </c:pt>
                <c:pt idx="6">
                  <c:v>453135</c:v>
                </c:pt>
                <c:pt idx="9">
                  <c:v>1003786</c:v>
                </c:pt>
                <c:pt idx="12">
                  <c:v>114932</c:v>
                </c:pt>
                <c:pt idx="15">
                  <c:v>192862</c:v>
                </c:pt>
                <c:pt idx="18">
                  <c:v>35547</c:v>
                </c:pt>
                <c:pt idx="21">
                  <c:v>104826</c:v>
                </c:pt>
                <c:pt idx="24">
                  <c:v>25690</c:v>
                </c:pt>
                <c:pt idx="27">
                  <c:v>403591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4008304"/>
        <c:axId val="374006736"/>
      </c:barChart>
      <c:catAx>
        <c:axId val="37400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4006736"/>
        <c:crosses val="autoZero"/>
        <c:auto val="1"/>
        <c:lblAlgn val="ctr"/>
        <c:lblOffset val="100"/>
        <c:noMultiLvlLbl val="0"/>
      </c:catAx>
      <c:valAx>
        <c:axId val="37400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4008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皆!$F$30:$AP$30</c:f>
              <c:strCache>
                <c:ptCount val="37"/>
                <c:pt idx="0">
                  <c:v>なお</c:v>
                </c:pt>
                <c:pt idx="3">
                  <c:v>ほり</c:v>
                </c:pt>
                <c:pt idx="6">
                  <c:v>さこん</c:v>
                </c:pt>
                <c:pt idx="9">
                  <c:v>まみ</c:v>
                </c:pt>
                <c:pt idx="12">
                  <c:v>ハルカス</c:v>
                </c:pt>
                <c:pt idx="15">
                  <c:v>すーちゃん</c:v>
                </c:pt>
                <c:pt idx="18">
                  <c:v>すぎ</c:v>
                </c:pt>
                <c:pt idx="21">
                  <c:v>あいのすけ</c:v>
                </c:pt>
                <c:pt idx="24">
                  <c:v>なかしー</c:v>
                </c:pt>
                <c:pt idx="27">
                  <c:v>しお</c:v>
                </c:pt>
                <c:pt idx="30">
                  <c:v>２左</c:v>
                </c:pt>
                <c:pt idx="33">
                  <c:v>ほりえせかんど</c:v>
                </c:pt>
                <c:pt idx="36">
                  <c:v>ほりえさーど</c:v>
                </c:pt>
              </c:strCache>
            </c:strRef>
          </c:cat>
          <c:val>
            <c:numRef>
              <c:f>皆!$F$31:$AP$31</c:f>
              <c:numCache>
                <c:formatCode>General</c:formatCode>
                <c:ptCount val="3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4006344"/>
        <c:axId val="374007128"/>
      </c:barChart>
      <c:catAx>
        <c:axId val="374006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4007128"/>
        <c:crosses val="autoZero"/>
        <c:auto val="1"/>
        <c:lblAlgn val="ctr"/>
        <c:lblOffset val="100"/>
        <c:noMultiLvlLbl val="0"/>
      </c:catAx>
      <c:valAx>
        <c:axId val="374007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4006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222177788111682E-2"/>
          <c:y val="1.7591088829261404E-2"/>
          <c:w val="0.86414533052661091"/>
          <c:h val="0.71392004761232275"/>
        </c:manualLayout>
      </c:layout>
      <c:scatterChart>
        <c:scatterStyle val="lineMarker"/>
        <c:varyColors val="0"/>
        <c:ser>
          <c:idx val="0"/>
          <c:order val="0"/>
          <c:tx>
            <c:strRef>
              <c:f>皆!$C$2</c:f>
              <c:strCache>
                <c:ptCount val="1"/>
                <c:pt idx="0">
                  <c:v>レベル40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皆!$C$3:$C$24</c:f>
              <c:numCache>
                <c:formatCode>0_);[Red]\(0\)</c:formatCode>
                <c:ptCount val="22"/>
                <c:pt idx="0">
                  <c:v>20000000</c:v>
                </c:pt>
                <c:pt idx="1">
                  <c:v>20000000</c:v>
                </c:pt>
                <c:pt idx="2">
                  <c:v>20000000</c:v>
                </c:pt>
                <c:pt idx="3">
                  <c:v>20000000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皆!$F$2</c:f>
              <c:strCache>
                <c:ptCount val="1"/>
                <c:pt idx="0">
                  <c:v>なお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皆!$F$3:$F$24</c:f>
              <c:numCache>
                <c:formatCode>General</c:formatCode>
                <c:ptCount val="22"/>
                <c:pt idx="0">
                  <c:v>15301829</c:v>
                </c:pt>
                <c:pt idx="1">
                  <c:v>15559954</c:v>
                </c:pt>
                <c:pt idx="2">
                  <c:v>15612586</c:v>
                </c:pt>
                <c:pt idx="3">
                  <c:v>15758591</c:v>
                </c:pt>
                <c:pt idx="4">
                  <c:v>15862166</c:v>
                </c:pt>
                <c:pt idx="5">
                  <c:v>16033915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皆!$I$2</c:f>
              <c:strCache>
                <c:ptCount val="1"/>
                <c:pt idx="0">
                  <c:v>ほり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皆!$I$3:$I$24</c:f>
              <c:numCache>
                <c:formatCode>General</c:formatCode>
                <c:ptCount val="22"/>
                <c:pt idx="0">
                  <c:v>13505305</c:v>
                </c:pt>
                <c:pt idx="1">
                  <c:v>14119112</c:v>
                </c:pt>
                <c:pt idx="2">
                  <c:v>14228006</c:v>
                </c:pt>
                <c:pt idx="3">
                  <c:v>14411721</c:v>
                </c:pt>
                <c:pt idx="4">
                  <c:v>14803139</c:v>
                </c:pt>
                <c:pt idx="5">
                  <c:v>16094831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皆!$L$2</c:f>
              <c:strCache>
                <c:ptCount val="1"/>
                <c:pt idx="0">
                  <c:v>さこん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皆!$L$3:$L$24</c:f>
              <c:numCache>
                <c:formatCode>General</c:formatCode>
                <c:ptCount val="22"/>
                <c:pt idx="3">
                  <c:v>7438020</c:v>
                </c:pt>
                <c:pt idx="4">
                  <c:v>7452735</c:v>
                </c:pt>
                <c:pt idx="5">
                  <c:v>7905870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皆!$O$2</c:f>
              <c:strCache>
                <c:ptCount val="1"/>
                <c:pt idx="0">
                  <c:v>まみ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皆!$O$3:$O$24</c:f>
              <c:numCache>
                <c:formatCode>General</c:formatCode>
                <c:ptCount val="22"/>
                <c:pt idx="3">
                  <c:v>3543704</c:v>
                </c:pt>
                <c:pt idx="4">
                  <c:v>3580769</c:v>
                </c:pt>
                <c:pt idx="5">
                  <c:v>4584555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皆!$R$2</c:f>
              <c:strCache>
                <c:ptCount val="1"/>
                <c:pt idx="0">
                  <c:v>ハルカス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皆!$R$3:$R$24</c:f>
              <c:numCache>
                <c:formatCode>General</c:formatCode>
                <c:ptCount val="22"/>
                <c:pt idx="3">
                  <c:v>6953418</c:v>
                </c:pt>
                <c:pt idx="4">
                  <c:v>6959157</c:v>
                </c:pt>
                <c:pt idx="5">
                  <c:v>7074089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皆!$U$2</c:f>
              <c:strCache>
                <c:ptCount val="1"/>
                <c:pt idx="0">
                  <c:v>すーちゃん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皆!$U$3:$U$24</c:f>
              <c:numCache>
                <c:formatCode>General</c:formatCode>
                <c:ptCount val="22"/>
                <c:pt idx="3">
                  <c:v>11819390</c:v>
                </c:pt>
                <c:pt idx="4">
                  <c:v>11831760</c:v>
                </c:pt>
                <c:pt idx="5">
                  <c:v>12024622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皆!$X$2</c:f>
              <c:strCache>
                <c:ptCount val="1"/>
                <c:pt idx="0">
                  <c:v>すぎ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皆!$X$3:$X$24</c:f>
              <c:numCache>
                <c:formatCode>General</c:formatCode>
                <c:ptCount val="22"/>
                <c:pt idx="3">
                  <c:v>3026416</c:v>
                </c:pt>
                <c:pt idx="4">
                  <c:v>3030791</c:v>
                </c:pt>
                <c:pt idx="5">
                  <c:v>3066338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皆!$AA$2</c:f>
              <c:strCache>
                <c:ptCount val="1"/>
                <c:pt idx="0">
                  <c:v>あいのすけ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皆!$AA$3:$AA$24</c:f>
              <c:numCache>
                <c:formatCode>General</c:formatCode>
                <c:ptCount val="22"/>
                <c:pt idx="3">
                  <c:v>8587129</c:v>
                </c:pt>
                <c:pt idx="4">
                  <c:v>8647793</c:v>
                </c:pt>
                <c:pt idx="5">
                  <c:v>8752619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皆!$AD$2</c:f>
              <c:strCache>
                <c:ptCount val="1"/>
                <c:pt idx="0">
                  <c:v>なかしー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皆!$AD$3:$AD$24</c:f>
              <c:numCache>
                <c:formatCode>General</c:formatCode>
                <c:ptCount val="22"/>
                <c:pt idx="3">
                  <c:v>1738887</c:v>
                </c:pt>
                <c:pt idx="4">
                  <c:v>1743707</c:v>
                </c:pt>
                <c:pt idx="5">
                  <c:v>1769397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皆!$AG$2</c:f>
              <c:strCache>
                <c:ptCount val="1"/>
                <c:pt idx="0">
                  <c:v>しお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皆!$AG$3:$AG$24</c:f>
              <c:numCache>
                <c:formatCode>General</c:formatCode>
                <c:ptCount val="22"/>
                <c:pt idx="3">
                  <c:v>8066272</c:v>
                </c:pt>
                <c:pt idx="4">
                  <c:v>8085917</c:v>
                </c:pt>
                <c:pt idx="5">
                  <c:v>8489508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皆!$AJ$2</c:f>
              <c:strCache>
                <c:ptCount val="1"/>
                <c:pt idx="0">
                  <c:v>２左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皆!$AJ$3:$AJ$23</c:f>
              <c:numCache>
                <c:formatCode>General</c:formatCode>
                <c:ptCount val="21"/>
                <c:pt idx="3">
                  <c:v>807419</c:v>
                </c:pt>
                <c:pt idx="4">
                  <c:v>815789</c:v>
                </c:pt>
                <c:pt idx="5">
                  <c:v>938774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皆!$AM$2</c:f>
              <c:strCache>
                <c:ptCount val="1"/>
                <c:pt idx="0">
                  <c:v>ほりえせかんど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皆!$AM$3:$AM$24</c:f>
              <c:numCache>
                <c:formatCode>General</c:formatCode>
                <c:ptCount val="22"/>
                <c:pt idx="3">
                  <c:v>4614064</c:v>
                </c:pt>
                <c:pt idx="4">
                  <c:v>4653735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皆!$AP$2</c:f>
              <c:strCache>
                <c:ptCount val="1"/>
                <c:pt idx="0">
                  <c:v>ほりえさーど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皆!$AP$3:$AP$24</c:f>
              <c:numCache>
                <c:formatCode>General</c:formatCode>
                <c:ptCount val="22"/>
                <c:pt idx="3">
                  <c:v>1432047</c:v>
                </c:pt>
                <c:pt idx="4">
                  <c:v>1543467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009480"/>
        <c:axId val="374008696"/>
      </c:scatterChart>
      <c:valAx>
        <c:axId val="374009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4008696"/>
        <c:crosses val="autoZero"/>
        <c:crossBetween val="midCat"/>
      </c:valAx>
      <c:valAx>
        <c:axId val="374008696"/>
        <c:scaling>
          <c:orientation val="minMax"/>
          <c:max val="210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);[Red]\(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4009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222177788111682E-2"/>
          <c:y val="1.7591088829261404E-2"/>
          <c:w val="0.86414533052661091"/>
          <c:h val="0.71392004761232275"/>
        </c:manualLayout>
      </c:layout>
      <c:scatterChart>
        <c:scatterStyle val="lineMarker"/>
        <c:varyColors val="0"/>
        <c:ser>
          <c:idx val="0"/>
          <c:order val="0"/>
          <c:tx>
            <c:strRef>
              <c:f>皆!$C$2</c:f>
              <c:strCache>
                <c:ptCount val="1"/>
                <c:pt idx="0">
                  <c:v>レベル40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皆!$C$3:$C$24</c:f>
              <c:numCache>
                <c:formatCode>0_);[Red]\(0\)</c:formatCode>
                <c:ptCount val="22"/>
                <c:pt idx="0">
                  <c:v>20000000</c:v>
                </c:pt>
                <c:pt idx="1">
                  <c:v>20000000</c:v>
                </c:pt>
                <c:pt idx="2">
                  <c:v>20000000</c:v>
                </c:pt>
                <c:pt idx="3">
                  <c:v>20000000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皆!$F$2</c:f>
              <c:strCache>
                <c:ptCount val="1"/>
                <c:pt idx="0">
                  <c:v>なお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皆!$F$3:$F$24</c:f>
              <c:numCache>
                <c:formatCode>General</c:formatCode>
                <c:ptCount val="22"/>
                <c:pt idx="0">
                  <c:v>15301829</c:v>
                </c:pt>
                <c:pt idx="1">
                  <c:v>15559954</c:v>
                </c:pt>
                <c:pt idx="2">
                  <c:v>15612586</c:v>
                </c:pt>
                <c:pt idx="3">
                  <c:v>15758591</c:v>
                </c:pt>
                <c:pt idx="4">
                  <c:v>15862166</c:v>
                </c:pt>
                <c:pt idx="5">
                  <c:v>16033915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皆!$I$2</c:f>
              <c:strCache>
                <c:ptCount val="1"/>
                <c:pt idx="0">
                  <c:v>ほり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皆!$I$3:$I$24</c:f>
              <c:numCache>
                <c:formatCode>General</c:formatCode>
                <c:ptCount val="22"/>
                <c:pt idx="0">
                  <c:v>13505305</c:v>
                </c:pt>
                <c:pt idx="1">
                  <c:v>14119112</c:v>
                </c:pt>
                <c:pt idx="2">
                  <c:v>14228006</c:v>
                </c:pt>
                <c:pt idx="3">
                  <c:v>14411721</c:v>
                </c:pt>
                <c:pt idx="4">
                  <c:v>14803139</c:v>
                </c:pt>
                <c:pt idx="5">
                  <c:v>16094831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皆!$L$2</c:f>
              <c:strCache>
                <c:ptCount val="1"/>
                <c:pt idx="0">
                  <c:v>さこん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皆!$L$3:$L$24</c:f>
              <c:numCache>
                <c:formatCode>General</c:formatCode>
                <c:ptCount val="22"/>
                <c:pt idx="3">
                  <c:v>7438020</c:v>
                </c:pt>
                <c:pt idx="4">
                  <c:v>7452735</c:v>
                </c:pt>
                <c:pt idx="5">
                  <c:v>7905870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皆!$O$2</c:f>
              <c:strCache>
                <c:ptCount val="1"/>
                <c:pt idx="0">
                  <c:v>まみ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皆!$O$3:$O$24</c:f>
              <c:numCache>
                <c:formatCode>General</c:formatCode>
                <c:ptCount val="22"/>
                <c:pt idx="3">
                  <c:v>3543704</c:v>
                </c:pt>
                <c:pt idx="4">
                  <c:v>3580769</c:v>
                </c:pt>
                <c:pt idx="5">
                  <c:v>4584555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皆!$R$2</c:f>
              <c:strCache>
                <c:ptCount val="1"/>
                <c:pt idx="0">
                  <c:v>ハルカス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皆!$R$3:$R$24</c:f>
              <c:numCache>
                <c:formatCode>General</c:formatCode>
                <c:ptCount val="22"/>
                <c:pt idx="3">
                  <c:v>6953418</c:v>
                </c:pt>
                <c:pt idx="4">
                  <c:v>6959157</c:v>
                </c:pt>
                <c:pt idx="5">
                  <c:v>7074089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皆!$U$2</c:f>
              <c:strCache>
                <c:ptCount val="1"/>
                <c:pt idx="0">
                  <c:v>すーちゃん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皆!$U$3:$U$24</c:f>
              <c:numCache>
                <c:formatCode>General</c:formatCode>
                <c:ptCount val="22"/>
                <c:pt idx="3">
                  <c:v>11819390</c:v>
                </c:pt>
                <c:pt idx="4">
                  <c:v>11831760</c:v>
                </c:pt>
                <c:pt idx="5">
                  <c:v>12024622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皆!$X$2</c:f>
              <c:strCache>
                <c:ptCount val="1"/>
                <c:pt idx="0">
                  <c:v>すぎ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皆!$X$3:$X$24</c:f>
              <c:numCache>
                <c:formatCode>General</c:formatCode>
                <c:ptCount val="22"/>
                <c:pt idx="3">
                  <c:v>3026416</c:v>
                </c:pt>
                <c:pt idx="4">
                  <c:v>3030791</c:v>
                </c:pt>
                <c:pt idx="5">
                  <c:v>3066338</c:v>
                </c:pt>
              </c:numCache>
            </c:numRef>
          </c:yVal>
          <c:smooth val="0"/>
        </c:ser>
        <c:ser>
          <c:idx val="8"/>
          <c:order val="8"/>
          <c:tx>
            <c:v>白菜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皆!$AA$3:$AA$24</c:f>
              <c:numCache>
                <c:formatCode>General</c:formatCode>
                <c:ptCount val="22"/>
                <c:pt idx="3">
                  <c:v>8587129</c:v>
                </c:pt>
                <c:pt idx="4">
                  <c:v>8647793</c:v>
                </c:pt>
                <c:pt idx="5">
                  <c:v>8752619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皆!$AD$2</c:f>
              <c:strCache>
                <c:ptCount val="1"/>
                <c:pt idx="0">
                  <c:v>なかしー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皆!$AD$3:$AD$24</c:f>
              <c:numCache>
                <c:formatCode>General</c:formatCode>
                <c:ptCount val="22"/>
                <c:pt idx="3">
                  <c:v>1738887</c:v>
                </c:pt>
                <c:pt idx="4">
                  <c:v>1743707</c:v>
                </c:pt>
                <c:pt idx="5">
                  <c:v>1769397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皆!$AG$2</c:f>
              <c:strCache>
                <c:ptCount val="1"/>
                <c:pt idx="0">
                  <c:v>しお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皆!$AG$3:$AG$24</c:f>
              <c:numCache>
                <c:formatCode>General</c:formatCode>
                <c:ptCount val="22"/>
                <c:pt idx="3">
                  <c:v>8066272</c:v>
                </c:pt>
                <c:pt idx="4">
                  <c:v>8085917</c:v>
                </c:pt>
                <c:pt idx="5">
                  <c:v>8489508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010656"/>
        <c:axId val="374011440"/>
      </c:scatterChart>
      <c:valAx>
        <c:axId val="374010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4011440"/>
        <c:crosses val="autoZero"/>
        <c:crossBetween val="midCat"/>
      </c:valAx>
      <c:valAx>
        <c:axId val="374011440"/>
        <c:scaling>
          <c:orientation val="minMax"/>
          <c:max val="210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);[Red]\(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4010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0</xdr:row>
          <xdr:rowOff>47625</xdr:rowOff>
        </xdr:from>
        <xdr:to>
          <xdr:col>3</xdr:col>
          <xdr:colOff>1181100</xdr:colOff>
          <xdr:row>0</xdr:row>
          <xdr:rowOff>352425</xdr:rowOff>
        </xdr:to>
        <xdr:sp macro="" textlink="">
          <xdr:nvSpPr>
            <xdr:cNvPr id="2053" name="CommandButton1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519792</xdr:colOff>
      <xdr:row>1</xdr:row>
      <xdr:rowOff>5442</xdr:rowOff>
    </xdr:from>
    <xdr:to>
      <xdr:col>13</xdr:col>
      <xdr:colOff>477852</xdr:colOff>
      <xdr:row>17</xdr:row>
      <xdr:rowOff>171410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19</xdr:row>
      <xdr:rowOff>0</xdr:rowOff>
    </xdr:from>
    <xdr:to>
      <xdr:col>14</xdr:col>
      <xdr:colOff>1603</xdr:colOff>
      <xdr:row>35</xdr:row>
      <xdr:rowOff>66946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1</xdr:row>
      <xdr:rowOff>0</xdr:rowOff>
    </xdr:from>
    <xdr:to>
      <xdr:col>21</xdr:col>
      <xdr:colOff>626876</xdr:colOff>
      <xdr:row>17</xdr:row>
      <xdr:rowOff>63235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57149</xdr:colOff>
      <xdr:row>0</xdr:row>
      <xdr:rowOff>155121</xdr:rowOff>
    </xdr:from>
    <xdr:to>
      <xdr:col>14</xdr:col>
      <xdr:colOff>15209</xdr:colOff>
      <xdr:row>17</xdr:row>
      <xdr:rowOff>144196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19</xdr:row>
      <xdr:rowOff>0</xdr:rowOff>
    </xdr:from>
    <xdr:to>
      <xdr:col>14</xdr:col>
      <xdr:colOff>1603</xdr:colOff>
      <xdr:row>35</xdr:row>
      <xdr:rowOff>66946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1</xdr:row>
      <xdr:rowOff>0</xdr:rowOff>
    </xdr:from>
    <xdr:to>
      <xdr:col>21</xdr:col>
      <xdr:colOff>626876</xdr:colOff>
      <xdr:row>17</xdr:row>
      <xdr:rowOff>63235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57149</xdr:colOff>
      <xdr:row>0</xdr:row>
      <xdr:rowOff>155121</xdr:rowOff>
    </xdr:from>
    <xdr:to>
      <xdr:col>14</xdr:col>
      <xdr:colOff>15209</xdr:colOff>
      <xdr:row>17</xdr:row>
      <xdr:rowOff>144196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19</xdr:row>
      <xdr:rowOff>0</xdr:rowOff>
    </xdr:from>
    <xdr:to>
      <xdr:col>14</xdr:col>
      <xdr:colOff>1603</xdr:colOff>
      <xdr:row>35</xdr:row>
      <xdr:rowOff>66946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1</xdr:row>
      <xdr:rowOff>0</xdr:rowOff>
    </xdr:from>
    <xdr:to>
      <xdr:col>21</xdr:col>
      <xdr:colOff>626876</xdr:colOff>
      <xdr:row>17</xdr:row>
      <xdr:rowOff>63235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261980</xdr:colOff>
      <xdr:row>35</xdr:row>
      <xdr:rowOff>151357</xdr:rowOff>
    </xdr:from>
    <xdr:to>
      <xdr:col>19</xdr:col>
      <xdr:colOff>117906</xdr:colOff>
      <xdr:row>52</xdr:row>
      <xdr:rowOff>28252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244929</xdr:colOff>
      <xdr:row>32</xdr:row>
      <xdr:rowOff>65076</xdr:rowOff>
    </xdr:from>
    <xdr:to>
      <xdr:col>35</xdr:col>
      <xdr:colOff>39673</xdr:colOff>
      <xdr:row>48</xdr:row>
      <xdr:rowOff>121823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456430</xdr:colOff>
      <xdr:row>10</xdr:row>
      <xdr:rowOff>6400</xdr:rowOff>
    </xdr:from>
    <xdr:to>
      <xdr:col>27</xdr:col>
      <xdr:colOff>98889</xdr:colOff>
      <xdr:row>33</xdr:row>
      <xdr:rowOff>105730</xdr:rowOff>
    </xdr:to>
    <xdr:graphicFrame macro="">
      <xdr:nvGraphicFramePr>
        <xdr:cNvPr id="7" name="グラフ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156882</xdr:colOff>
      <xdr:row>9</xdr:row>
      <xdr:rowOff>78441</xdr:rowOff>
    </xdr:from>
    <xdr:to>
      <xdr:col>46</xdr:col>
      <xdr:colOff>146723</xdr:colOff>
      <xdr:row>33</xdr:row>
      <xdr:rowOff>9683</xdr:rowOff>
    </xdr:to>
    <xdr:graphicFrame macro="">
      <xdr:nvGraphicFramePr>
        <xdr:cNvPr id="6" name="グラフ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233"/>
  <sheetViews>
    <sheetView tabSelected="1" zoomScale="85" zoomScaleNormal="85" workbookViewId="0">
      <pane xSplit="1" ySplit="1" topLeftCell="B77" activePane="bottomRight" state="frozen"/>
      <selection pane="topRight" activeCell="B1" sqref="B1"/>
      <selection pane="bottomLeft" activeCell="A2" sqref="A2"/>
      <selection pane="bottomRight" activeCell="G98" sqref="G98"/>
    </sheetView>
  </sheetViews>
  <sheetFormatPr defaultRowHeight="13.5" x14ac:dyDescent="0.15"/>
  <cols>
    <col min="4" max="4" width="18.625" customWidth="1"/>
    <col min="5" max="5" width="9.5" customWidth="1"/>
    <col min="7" max="7" width="13.5" style="21" customWidth="1"/>
    <col min="10" max="10" width="12.125" style="21" customWidth="1"/>
    <col min="13" max="13" width="10.875" style="21" customWidth="1"/>
  </cols>
  <sheetData>
    <row r="1" spans="1:15" ht="33.75" customHeight="1" x14ac:dyDescent="0.15">
      <c r="A1" s="7" t="s">
        <v>382</v>
      </c>
      <c r="B1" s="7" t="s">
        <v>383</v>
      </c>
      <c r="C1" s="9" t="s">
        <v>381</v>
      </c>
      <c r="D1" s="7"/>
      <c r="E1" s="7" t="s">
        <v>54</v>
      </c>
      <c r="F1" s="7" t="s">
        <v>57</v>
      </c>
      <c r="G1" s="33" t="s">
        <v>55</v>
      </c>
      <c r="H1" s="33" t="s">
        <v>640</v>
      </c>
      <c r="I1" s="33" t="s">
        <v>647</v>
      </c>
      <c r="J1" s="33" t="s">
        <v>641</v>
      </c>
      <c r="K1" s="33" t="s">
        <v>645</v>
      </c>
      <c r="L1" s="33" t="s">
        <v>646</v>
      </c>
      <c r="M1" s="33" t="s">
        <v>642</v>
      </c>
      <c r="N1" s="33" t="s">
        <v>643</v>
      </c>
      <c r="O1" s="33" t="s">
        <v>644</v>
      </c>
    </row>
    <row r="2" spans="1:15" x14ac:dyDescent="0.15">
      <c r="A2" s="8">
        <v>43863</v>
      </c>
      <c r="B2" s="7">
        <v>8</v>
      </c>
      <c r="C2" s="9" t="s">
        <v>185</v>
      </c>
      <c r="D2" s="7" t="s">
        <v>18</v>
      </c>
      <c r="E2" s="7"/>
      <c r="F2" s="7">
        <v>0</v>
      </c>
      <c r="G2" s="20" t="s">
        <v>19</v>
      </c>
      <c r="H2" s="7" t="s">
        <v>28</v>
      </c>
      <c r="I2" s="7"/>
      <c r="J2" s="20" t="s">
        <v>20</v>
      </c>
      <c r="K2" s="7" t="s">
        <v>31</v>
      </c>
      <c r="L2" s="7"/>
      <c r="M2" s="20" t="s">
        <v>21</v>
      </c>
      <c r="N2" s="7" t="s">
        <v>29</v>
      </c>
      <c r="O2" s="7" t="s">
        <v>30</v>
      </c>
    </row>
    <row r="3" spans="1:15" x14ac:dyDescent="0.15">
      <c r="A3" s="8">
        <v>43863</v>
      </c>
      <c r="B3" s="7">
        <v>8</v>
      </c>
      <c r="C3" s="9" t="s">
        <v>185</v>
      </c>
      <c r="D3" s="7" t="s">
        <v>22</v>
      </c>
      <c r="E3" s="7"/>
      <c r="F3" s="7">
        <v>1</v>
      </c>
      <c r="G3" s="20" t="s">
        <v>23</v>
      </c>
      <c r="H3" s="7"/>
      <c r="I3" s="7"/>
      <c r="J3" s="20" t="s">
        <v>24</v>
      </c>
      <c r="K3" s="7" t="s">
        <v>27</v>
      </c>
      <c r="L3" s="7"/>
      <c r="M3" s="20" t="s">
        <v>25</v>
      </c>
      <c r="N3" s="7" t="s">
        <v>26</v>
      </c>
      <c r="O3" s="7"/>
    </row>
    <row r="4" spans="1:15" x14ac:dyDescent="0.15">
      <c r="A4" s="8">
        <v>43864</v>
      </c>
      <c r="B4" s="7">
        <v>8</v>
      </c>
      <c r="C4" s="9" t="s">
        <v>185</v>
      </c>
      <c r="D4" s="7" t="s">
        <v>32</v>
      </c>
      <c r="E4" s="7"/>
      <c r="F4" s="7">
        <v>0</v>
      </c>
      <c r="G4" s="20" t="s">
        <v>33</v>
      </c>
      <c r="H4" s="7"/>
      <c r="I4" s="7"/>
      <c r="J4" s="20" t="s">
        <v>20</v>
      </c>
      <c r="K4" s="7" t="s">
        <v>31</v>
      </c>
      <c r="L4" s="7" t="s">
        <v>34</v>
      </c>
      <c r="M4" s="20" t="s">
        <v>21</v>
      </c>
      <c r="N4" s="7"/>
      <c r="O4" s="7"/>
    </row>
    <row r="5" spans="1:15" x14ac:dyDescent="0.15">
      <c r="A5" s="8">
        <v>43864</v>
      </c>
      <c r="B5" s="7">
        <v>8</v>
      </c>
      <c r="C5" s="9" t="s">
        <v>185</v>
      </c>
      <c r="D5" s="7"/>
      <c r="E5" s="7"/>
      <c r="F5" s="7">
        <v>0</v>
      </c>
      <c r="G5" s="20" t="s">
        <v>35</v>
      </c>
      <c r="H5" s="7"/>
      <c r="I5" s="7"/>
      <c r="J5" s="20" t="s">
        <v>36</v>
      </c>
      <c r="K5" s="7"/>
      <c r="L5" s="7"/>
      <c r="M5" s="20" t="s">
        <v>37</v>
      </c>
      <c r="N5" s="7"/>
      <c r="O5" s="7"/>
    </row>
    <row r="6" spans="1:15" x14ac:dyDescent="0.15">
      <c r="A6" s="8">
        <v>43864</v>
      </c>
      <c r="B6" s="7">
        <v>8</v>
      </c>
      <c r="C6" s="9" t="s">
        <v>185</v>
      </c>
      <c r="D6" s="7" t="s">
        <v>38</v>
      </c>
      <c r="E6" s="7"/>
      <c r="F6" s="7">
        <v>1</v>
      </c>
      <c r="G6" s="20" t="s">
        <v>39</v>
      </c>
      <c r="H6" s="7" t="s">
        <v>40</v>
      </c>
      <c r="I6" s="7"/>
      <c r="J6" s="20" t="s">
        <v>41</v>
      </c>
      <c r="K6" s="7" t="s">
        <v>42</v>
      </c>
      <c r="L6" s="7"/>
      <c r="M6" s="20" t="s">
        <v>43</v>
      </c>
      <c r="N6" s="7" t="s">
        <v>44</v>
      </c>
      <c r="O6" s="7"/>
    </row>
    <row r="7" spans="1:15" x14ac:dyDescent="0.15">
      <c r="A7" s="8">
        <v>43864</v>
      </c>
      <c r="B7" s="7">
        <v>8</v>
      </c>
      <c r="C7" s="9" t="s">
        <v>185</v>
      </c>
      <c r="D7" s="7" t="s">
        <v>45</v>
      </c>
      <c r="E7" s="7"/>
      <c r="F7" s="7">
        <v>0</v>
      </c>
      <c r="G7" s="20" t="s">
        <v>46</v>
      </c>
      <c r="H7" s="7" t="s">
        <v>48</v>
      </c>
      <c r="I7" s="7"/>
      <c r="J7" s="20" t="s">
        <v>47</v>
      </c>
      <c r="K7" s="7"/>
      <c r="L7" s="7"/>
      <c r="M7" s="20" t="s">
        <v>43</v>
      </c>
      <c r="N7" s="7"/>
      <c r="O7" s="7"/>
    </row>
    <row r="8" spans="1:15" x14ac:dyDescent="0.15">
      <c r="A8" s="8">
        <v>43864</v>
      </c>
      <c r="B8" s="7">
        <v>8</v>
      </c>
      <c r="C8" s="9" t="s">
        <v>185</v>
      </c>
      <c r="D8" s="7" t="s">
        <v>49</v>
      </c>
      <c r="E8" s="7">
        <v>2513</v>
      </c>
      <c r="F8" s="7">
        <v>1</v>
      </c>
      <c r="G8" s="20" t="s">
        <v>50</v>
      </c>
      <c r="H8" s="7" t="s">
        <v>53</v>
      </c>
      <c r="I8" s="7"/>
      <c r="J8" s="20" t="s">
        <v>51</v>
      </c>
      <c r="K8" s="7" t="s">
        <v>52</v>
      </c>
      <c r="L8" s="7"/>
      <c r="M8" s="20" t="s">
        <v>46</v>
      </c>
      <c r="N8" s="7"/>
      <c r="O8" s="7"/>
    </row>
    <row r="9" spans="1:15" x14ac:dyDescent="0.15">
      <c r="A9" s="8">
        <v>43865</v>
      </c>
      <c r="B9" s="9">
        <v>8</v>
      </c>
      <c r="C9" s="9" t="s">
        <v>185</v>
      </c>
      <c r="D9" s="9" t="s">
        <v>58</v>
      </c>
      <c r="E9" s="9">
        <v>2601</v>
      </c>
      <c r="F9" s="9">
        <v>0</v>
      </c>
      <c r="G9" s="20" t="s">
        <v>24</v>
      </c>
      <c r="H9" s="9"/>
      <c r="I9" s="9"/>
      <c r="J9" s="20" t="s">
        <v>61</v>
      </c>
      <c r="K9" s="9" t="s">
        <v>62</v>
      </c>
      <c r="L9" s="9"/>
      <c r="M9" s="20" t="s">
        <v>59</v>
      </c>
      <c r="N9" s="9" t="s">
        <v>60</v>
      </c>
      <c r="O9" s="9"/>
    </row>
    <row r="10" spans="1:15" x14ac:dyDescent="0.15">
      <c r="A10" s="8">
        <v>43865</v>
      </c>
      <c r="B10" s="9">
        <v>8</v>
      </c>
      <c r="C10" s="9" t="s">
        <v>187</v>
      </c>
      <c r="D10" s="9" t="s">
        <v>63</v>
      </c>
      <c r="E10" s="9"/>
      <c r="F10" s="9">
        <v>1</v>
      </c>
      <c r="G10" s="20" t="s">
        <v>36</v>
      </c>
      <c r="H10" s="9" t="s">
        <v>27</v>
      </c>
      <c r="I10" s="9"/>
      <c r="J10" s="20" t="s">
        <v>21</v>
      </c>
      <c r="K10" s="9" t="s">
        <v>65</v>
      </c>
      <c r="L10" s="9"/>
      <c r="M10" s="20" t="s">
        <v>188</v>
      </c>
      <c r="N10" s="9" t="s">
        <v>42</v>
      </c>
      <c r="O10" s="9" t="s">
        <v>64</v>
      </c>
    </row>
    <row r="11" spans="1:15" x14ac:dyDescent="0.15">
      <c r="A11" s="8">
        <v>43865</v>
      </c>
      <c r="B11" s="9">
        <v>8</v>
      </c>
      <c r="C11" s="9" t="s">
        <v>187</v>
      </c>
      <c r="D11" s="9" t="s">
        <v>189</v>
      </c>
      <c r="E11" s="9">
        <v>2590</v>
      </c>
      <c r="F11" s="9">
        <v>1</v>
      </c>
      <c r="G11" s="20" t="s">
        <v>43</v>
      </c>
      <c r="H11" s="9" t="s">
        <v>42</v>
      </c>
      <c r="I11" s="9"/>
      <c r="J11" s="20" t="s">
        <v>21</v>
      </c>
      <c r="K11" s="9" t="s">
        <v>30</v>
      </c>
      <c r="L11" s="9"/>
      <c r="M11" s="20" t="s">
        <v>24</v>
      </c>
      <c r="N11" s="9" t="s">
        <v>67</v>
      </c>
      <c r="O11" s="9"/>
    </row>
    <row r="12" spans="1:15" x14ac:dyDescent="0.15">
      <c r="A12" s="8">
        <v>43865</v>
      </c>
      <c r="B12" s="9">
        <v>8</v>
      </c>
      <c r="C12" s="9" t="s">
        <v>185</v>
      </c>
      <c r="D12" s="9" t="s">
        <v>66</v>
      </c>
      <c r="E12" s="9">
        <v>2590</v>
      </c>
      <c r="F12" s="9">
        <v>1</v>
      </c>
      <c r="G12" s="20"/>
      <c r="H12" s="9"/>
      <c r="I12" s="9"/>
      <c r="J12" s="20"/>
      <c r="K12" s="9"/>
      <c r="L12" s="9"/>
      <c r="M12" s="20"/>
      <c r="N12" s="9"/>
      <c r="O12" s="9"/>
    </row>
    <row r="13" spans="1:15" x14ac:dyDescent="0.15">
      <c r="A13" s="8">
        <v>43865</v>
      </c>
      <c r="B13" s="9">
        <v>8</v>
      </c>
      <c r="C13" s="9" t="s">
        <v>185</v>
      </c>
      <c r="D13" s="9" t="s">
        <v>68</v>
      </c>
      <c r="E13" s="9">
        <v>2638</v>
      </c>
      <c r="F13" s="9">
        <v>0</v>
      </c>
      <c r="G13" s="20" t="s">
        <v>69</v>
      </c>
      <c r="H13" s="9" t="s">
        <v>73</v>
      </c>
      <c r="I13" s="9"/>
      <c r="J13" s="20" t="s">
        <v>70</v>
      </c>
      <c r="K13" s="9" t="s">
        <v>75</v>
      </c>
      <c r="L13" s="9" t="s">
        <v>74</v>
      </c>
      <c r="M13" s="20" t="s">
        <v>71</v>
      </c>
      <c r="N13" s="9" t="s">
        <v>72</v>
      </c>
      <c r="O13" s="9"/>
    </row>
    <row r="14" spans="1:15" x14ac:dyDescent="0.15">
      <c r="A14" s="8">
        <v>43865</v>
      </c>
      <c r="B14" s="9">
        <v>8</v>
      </c>
      <c r="C14" s="9" t="s">
        <v>185</v>
      </c>
      <c r="D14" s="9" t="s">
        <v>76</v>
      </c>
      <c r="E14" s="9">
        <v>2496</v>
      </c>
      <c r="F14" s="9">
        <v>1</v>
      </c>
      <c r="G14" s="20" t="s">
        <v>77</v>
      </c>
      <c r="H14" s="9"/>
      <c r="I14" s="9"/>
      <c r="J14" s="20" t="s">
        <v>78</v>
      </c>
      <c r="K14" s="9"/>
      <c r="L14" s="9"/>
      <c r="M14" s="20" t="s">
        <v>79</v>
      </c>
      <c r="N14" s="9"/>
      <c r="O14" s="9"/>
    </row>
    <row r="15" spans="1:15" x14ac:dyDescent="0.15">
      <c r="A15" s="8">
        <v>43865</v>
      </c>
      <c r="B15" s="9">
        <v>8</v>
      </c>
      <c r="C15" s="9" t="s">
        <v>185</v>
      </c>
      <c r="D15" s="9" t="s">
        <v>80</v>
      </c>
      <c r="E15" s="9">
        <v>2565</v>
      </c>
      <c r="F15" s="9">
        <v>1</v>
      </c>
      <c r="G15" s="20" t="s">
        <v>81</v>
      </c>
      <c r="H15" s="9" t="s">
        <v>65</v>
      </c>
      <c r="I15" s="9"/>
      <c r="J15" s="20" t="s">
        <v>188</v>
      </c>
      <c r="K15" s="9" t="s">
        <v>42</v>
      </c>
      <c r="L15" s="9" t="s">
        <v>64</v>
      </c>
      <c r="M15" s="20" t="s">
        <v>82</v>
      </c>
      <c r="N15" s="9" t="s">
        <v>83</v>
      </c>
      <c r="O15" s="9"/>
    </row>
    <row r="16" spans="1:15" x14ac:dyDescent="0.15">
      <c r="A16" s="8">
        <v>43865</v>
      </c>
      <c r="B16" s="9">
        <v>8</v>
      </c>
      <c r="C16" s="9" t="s">
        <v>185</v>
      </c>
      <c r="D16" s="9" t="s">
        <v>84</v>
      </c>
      <c r="E16" s="9">
        <v>2641</v>
      </c>
      <c r="F16" s="9">
        <v>0</v>
      </c>
      <c r="G16" s="20" t="s">
        <v>190</v>
      </c>
      <c r="H16" s="9" t="s">
        <v>29</v>
      </c>
      <c r="I16" s="9"/>
      <c r="J16" s="20" t="s">
        <v>85</v>
      </c>
      <c r="K16" s="9" t="s">
        <v>86</v>
      </c>
      <c r="L16" s="9"/>
      <c r="M16" s="20" t="s">
        <v>648</v>
      </c>
      <c r="N16" s="9" t="s">
        <v>87</v>
      </c>
      <c r="O16" s="9" t="s">
        <v>67</v>
      </c>
    </row>
    <row r="17" spans="1:15" x14ac:dyDescent="0.15">
      <c r="A17" s="8">
        <v>43865</v>
      </c>
      <c r="B17" s="9">
        <v>8</v>
      </c>
      <c r="C17" s="9" t="s">
        <v>185</v>
      </c>
      <c r="D17" s="9" t="s">
        <v>88</v>
      </c>
      <c r="E17" s="9">
        <v>2548</v>
      </c>
      <c r="F17" s="9">
        <v>1</v>
      </c>
      <c r="G17" s="20" t="s">
        <v>188</v>
      </c>
      <c r="H17" s="9"/>
      <c r="I17" s="9"/>
      <c r="J17" s="20" t="s">
        <v>46</v>
      </c>
      <c r="K17" s="9"/>
      <c r="L17" s="9"/>
      <c r="M17" s="20" t="s">
        <v>191</v>
      </c>
      <c r="N17" s="9"/>
      <c r="O17" s="9"/>
    </row>
    <row r="18" spans="1:15" x14ac:dyDescent="0.15">
      <c r="A18" s="8">
        <v>43865</v>
      </c>
      <c r="B18" s="9">
        <v>8</v>
      </c>
      <c r="C18" s="9" t="s">
        <v>185</v>
      </c>
      <c r="D18" s="9" t="s">
        <v>89</v>
      </c>
      <c r="E18" s="9">
        <v>2497</v>
      </c>
      <c r="F18" s="9">
        <v>1</v>
      </c>
      <c r="G18" s="20" t="s">
        <v>192</v>
      </c>
      <c r="H18" s="9"/>
      <c r="I18" s="9"/>
      <c r="J18" s="20" t="s">
        <v>90</v>
      </c>
      <c r="K18" s="9"/>
      <c r="L18" s="9"/>
      <c r="M18" s="20" t="s">
        <v>188</v>
      </c>
      <c r="N18" s="9" t="s">
        <v>92</v>
      </c>
      <c r="O18" s="9"/>
    </row>
    <row r="19" spans="1:15" x14ac:dyDescent="0.15">
      <c r="A19" s="8">
        <v>43866</v>
      </c>
      <c r="B19" s="9">
        <v>8</v>
      </c>
      <c r="C19" s="9" t="s">
        <v>185</v>
      </c>
      <c r="D19" s="9" t="s">
        <v>193</v>
      </c>
      <c r="E19" s="9">
        <v>2561</v>
      </c>
      <c r="F19" s="9">
        <v>1</v>
      </c>
      <c r="G19" s="20" t="s">
        <v>188</v>
      </c>
      <c r="H19" s="9" t="s">
        <v>127</v>
      </c>
      <c r="I19" s="9"/>
      <c r="J19" s="20" t="s">
        <v>24</v>
      </c>
      <c r="K19" s="9"/>
      <c r="L19" s="9"/>
      <c r="M19" s="20" t="s">
        <v>93</v>
      </c>
      <c r="N19" s="9"/>
      <c r="O19" s="9"/>
    </row>
    <row r="20" spans="1:15" x14ac:dyDescent="0.15">
      <c r="A20" s="8">
        <v>43866</v>
      </c>
      <c r="B20" s="9">
        <v>8</v>
      </c>
      <c r="C20" s="9" t="s">
        <v>187</v>
      </c>
      <c r="D20" s="9" t="s">
        <v>94</v>
      </c>
      <c r="E20" s="9">
        <v>2556</v>
      </c>
      <c r="F20" s="9">
        <v>1</v>
      </c>
      <c r="G20" s="20" t="s">
        <v>194</v>
      </c>
      <c r="H20" s="9" t="s">
        <v>27</v>
      </c>
      <c r="I20" s="9"/>
      <c r="J20" s="20" t="s">
        <v>95</v>
      </c>
      <c r="K20" s="9" t="s">
        <v>96</v>
      </c>
      <c r="L20" s="9"/>
      <c r="M20" s="20" t="s">
        <v>93</v>
      </c>
      <c r="N20" s="9" t="s">
        <v>97</v>
      </c>
      <c r="O20" s="9"/>
    </row>
    <row r="21" spans="1:15" x14ac:dyDescent="0.15">
      <c r="A21" s="8">
        <v>43866</v>
      </c>
      <c r="B21" s="9">
        <v>8</v>
      </c>
      <c r="C21" s="9" t="s">
        <v>185</v>
      </c>
      <c r="D21" s="9" t="s">
        <v>195</v>
      </c>
      <c r="E21" s="9">
        <v>2536</v>
      </c>
      <c r="F21" s="9">
        <v>1</v>
      </c>
      <c r="G21" s="20" t="s">
        <v>196</v>
      </c>
      <c r="H21" s="9" t="s">
        <v>197</v>
      </c>
      <c r="I21" s="9"/>
      <c r="J21" s="20" t="s">
        <v>24</v>
      </c>
      <c r="K21" s="9" t="s">
        <v>53</v>
      </c>
      <c r="L21" s="9"/>
      <c r="M21" s="20" t="s">
        <v>46</v>
      </c>
      <c r="N21" s="9"/>
      <c r="O21" s="9"/>
    </row>
    <row r="22" spans="1:15" x14ac:dyDescent="0.15">
      <c r="A22" s="8">
        <v>43866</v>
      </c>
      <c r="B22" s="9">
        <v>8</v>
      </c>
      <c r="C22" s="9" t="s">
        <v>185</v>
      </c>
      <c r="D22" s="9" t="s">
        <v>198</v>
      </c>
      <c r="E22" s="9">
        <v>2510</v>
      </c>
      <c r="F22" s="9">
        <v>1</v>
      </c>
      <c r="G22" s="20" t="s">
        <v>36</v>
      </c>
      <c r="H22" s="9"/>
      <c r="I22" s="9"/>
      <c r="J22" s="20" t="s">
        <v>199</v>
      </c>
      <c r="K22" s="9" t="s">
        <v>28</v>
      </c>
      <c r="L22" s="9"/>
      <c r="M22" s="20" t="s">
        <v>99</v>
      </c>
      <c r="N22" s="9"/>
      <c r="O22" s="9"/>
    </row>
    <row r="23" spans="1:15" x14ac:dyDescent="0.15">
      <c r="A23" s="8">
        <v>43866</v>
      </c>
      <c r="B23" s="9">
        <v>8</v>
      </c>
      <c r="C23" s="9" t="s">
        <v>187</v>
      </c>
      <c r="D23" s="9" t="s">
        <v>200</v>
      </c>
      <c r="E23" s="9">
        <v>2524</v>
      </c>
      <c r="F23" s="9">
        <v>0</v>
      </c>
      <c r="G23" s="20" t="s">
        <v>100</v>
      </c>
      <c r="H23" s="9" t="s">
        <v>74</v>
      </c>
      <c r="I23" s="9"/>
      <c r="J23" s="20" t="s">
        <v>46</v>
      </c>
      <c r="K23" s="9" t="s">
        <v>201</v>
      </c>
      <c r="L23" s="9"/>
      <c r="M23" s="20" t="s">
        <v>188</v>
      </c>
      <c r="N23" s="9" t="s">
        <v>101</v>
      </c>
      <c r="O23" s="9"/>
    </row>
    <row r="24" spans="1:15" x14ac:dyDescent="0.15">
      <c r="A24" s="8">
        <v>43865</v>
      </c>
      <c r="B24" s="9">
        <v>8</v>
      </c>
      <c r="C24" s="9" t="s">
        <v>185</v>
      </c>
      <c r="D24" s="9" t="s">
        <v>202</v>
      </c>
      <c r="E24" s="9">
        <v>2465</v>
      </c>
      <c r="F24" s="9">
        <v>1</v>
      </c>
      <c r="G24" s="20" t="s">
        <v>194</v>
      </c>
      <c r="H24" s="9"/>
      <c r="I24" s="9"/>
      <c r="J24" s="20" t="s">
        <v>203</v>
      </c>
      <c r="K24" s="9"/>
      <c r="L24" s="9"/>
      <c r="M24" s="20" t="s">
        <v>204</v>
      </c>
      <c r="N24" s="9" t="s">
        <v>110</v>
      </c>
      <c r="O24" s="9"/>
    </row>
    <row r="25" spans="1:15" x14ac:dyDescent="0.15">
      <c r="A25" s="8">
        <v>43865</v>
      </c>
      <c r="B25" s="9">
        <v>8</v>
      </c>
      <c r="C25" s="9" t="s">
        <v>185</v>
      </c>
      <c r="D25" s="9" t="s">
        <v>205</v>
      </c>
      <c r="E25" s="9">
        <v>2515</v>
      </c>
      <c r="F25" s="9">
        <v>0</v>
      </c>
      <c r="G25" s="20" t="s">
        <v>206</v>
      </c>
      <c r="H25" s="9" t="s">
        <v>207</v>
      </c>
      <c r="I25" s="9" t="s">
        <v>112</v>
      </c>
      <c r="J25" s="20" t="s">
        <v>82</v>
      </c>
      <c r="K25" s="9" t="s">
        <v>74</v>
      </c>
      <c r="L25" s="9"/>
      <c r="M25" s="20"/>
      <c r="N25" s="9"/>
      <c r="O25" s="9"/>
    </row>
    <row r="26" spans="1:15" x14ac:dyDescent="0.15">
      <c r="A26" s="8">
        <v>43865</v>
      </c>
      <c r="B26" s="9">
        <v>8</v>
      </c>
      <c r="C26" s="9" t="s">
        <v>185</v>
      </c>
      <c r="D26" s="9" t="s">
        <v>208</v>
      </c>
      <c r="E26" s="9">
        <v>2574</v>
      </c>
      <c r="F26" s="9">
        <v>0</v>
      </c>
      <c r="G26" s="20" t="s">
        <v>95</v>
      </c>
      <c r="H26" s="9" t="s">
        <v>209</v>
      </c>
      <c r="I26" s="9"/>
      <c r="J26" s="20" t="s">
        <v>19</v>
      </c>
      <c r="K26" s="9" t="s">
        <v>28</v>
      </c>
      <c r="L26" s="9"/>
      <c r="M26" s="20" t="s">
        <v>210</v>
      </c>
      <c r="N26" s="9" t="s">
        <v>117</v>
      </c>
      <c r="O26" s="9"/>
    </row>
    <row r="27" spans="1:15" x14ac:dyDescent="0.15">
      <c r="A27" s="8">
        <v>43865</v>
      </c>
      <c r="B27" s="9">
        <v>8</v>
      </c>
      <c r="C27" s="9" t="s">
        <v>187</v>
      </c>
      <c r="D27" s="9" t="s">
        <v>211</v>
      </c>
      <c r="E27" s="9"/>
      <c r="F27" s="9">
        <v>0</v>
      </c>
      <c r="G27" s="20" t="s">
        <v>212</v>
      </c>
      <c r="H27" s="9"/>
      <c r="I27" s="9"/>
      <c r="J27" s="20" t="s">
        <v>95</v>
      </c>
      <c r="K27" s="9"/>
      <c r="L27" s="9"/>
      <c r="M27" s="20" t="s">
        <v>24</v>
      </c>
      <c r="N27" s="9"/>
      <c r="O27" s="9"/>
    </row>
    <row r="28" spans="1:15" x14ac:dyDescent="0.15">
      <c r="A28" s="8">
        <v>43865</v>
      </c>
      <c r="B28" s="9">
        <v>8</v>
      </c>
      <c r="C28" s="9" t="s">
        <v>185</v>
      </c>
      <c r="D28" s="9" t="s">
        <v>213</v>
      </c>
      <c r="E28" s="9">
        <v>2569</v>
      </c>
      <c r="F28" s="9">
        <v>1</v>
      </c>
      <c r="G28" s="20" t="s">
        <v>20</v>
      </c>
      <c r="H28" s="9" t="s">
        <v>31</v>
      </c>
      <c r="I28" s="9"/>
      <c r="J28" s="20" t="s">
        <v>194</v>
      </c>
      <c r="K28" s="9" t="s">
        <v>27</v>
      </c>
      <c r="L28" s="9"/>
      <c r="M28" s="20" t="s">
        <v>214</v>
      </c>
      <c r="N28" s="9" t="s">
        <v>120</v>
      </c>
      <c r="O28" s="9"/>
    </row>
    <row r="29" spans="1:15" x14ac:dyDescent="0.15">
      <c r="A29" s="8">
        <v>43865</v>
      </c>
      <c r="B29" s="9">
        <v>8</v>
      </c>
      <c r="C29" s="9" t="s">
        <v>185</v>
      </c>
      <c r="D29" s="9" t="s">
        <v>215</v>
      </c>
      <c r="E29" s="9">
        <v>2610</v>
      </c>
      <c r="F29" s="9">
        <v>1</v>
      </c>
      <c r="G29" s="20" t="s">
        <v>191</v>
      </c>
      <c r="H29" s="9"/>
      <c r="I29" s="9"/>
      <c r="J29" s="20" t="s">
        <v>43</v>
      </c>
      <c r="K29" s="9"/>
      <c r="L29" s="9"/>
      <c r="M29" s="20" t="s">
        <v>24</v>
      </c>
      <c r="N29" s="9"/>
      <c r="O29" s="9"/>
    </row>
    <row r="30" spans="1:15" x14ac:dyDescent="0.15">
      <c r="A30" s="8">
        <v>43865</v>
      </c>
      <c r="B30" s="9">
        <v>8</v>
      </c>
      <c r="C30" s="9" t="s">
        <v>185</v>
      </c>
      <c r="D30" s="9" t="s">
        <v>216</v>
      </c>
      <c r="E30" s="9">
        <v>2488</v>
      </c>
      <c r="F30" s="9">
        <v>0</v>
      </c>
      <c r="G30" s="20" t="s">
        <v>24</v>
      </c>
      <c r="H30" s="9" t="s">
        <v>27</v>
      </c>
      <c r="I30" s="9"/>
      <c r="J30" s="20" t="s">
        <v>95</v>
      </c>
      <c r="K30" s="9"/>
      <c r="L30" s="9"/>
      <c r="M30" s="20" t="s">
        <v>61</v>
      </c>
      <c r="N30" s="9" t="s">
        <v>125</v>
      </c>
      <c r="O30" s="9"/>
    </row>
    <row r="31" spans="1:15" x14ac:dyDescent="0.15">
      <c r="A31" s="8">
        <v>43865</v>
      </c>
      <c r="B31" s="9">
        <v>8</v>
      </c>
      <c r="C31" s="9" t="s">
        <v>187</v>
      </c>
      <c r="D31" s="9" t="s">
        <v>217</v>
      </c>
      <c r="E31" s="9">
        <v>2545</v>
      </c>
      <c r="F31" s="9">
        <v>1</v>
      </c>
      <c r="G31" s="20" t="s">
        <v>218</v>
      </c>
      <c r="H31" s="9" t="s">
        <v>62</v>
      </c>
      <c r="I31" s="9"/>
      <c r="J31" s="20" t="s">
        <v>95</v>
      </c>
      <c r="K31" s="9" t="s">
        <v>219</v>
      </c>
      <c r="L31" s="9"/>
      <c r="M31" s="20" t="s">
        <v>43</v>
      </c>
      <c r="N31" s="9" t="s">
        <v>126</v>
      </c>
      <c r="O31" s="9"/>
    </row>
    <row r="32" spans="1:15" x14ac:dyDescent="0.15">
      <c r="A32" s="8">
        <v>43865</v>
      </c>
      <c r="B32" s="9">
        <v>8</v>
      </c>
      <c r="C32" s="9" t="s">
        <v>187</v>
      </c>
      <c r="D32" s="9" t="s">
        <v>220</v>
      </c>
      <c r="E32" s="9">
        <v>2538</v>
      </c>
      <c r="F32" s="9">
        <v>0</v>
      </c>
      <c r="G32" s="20" t="s">
        <v>206</v>
      </c>
      <c r="H32" s="9" t="s">
        <v>221</v>
      </c>
      <c r="I32" s="9"/>
      <c r="J32" s="20" t="s">
        <v>43</v>
      </c>
      <c r="K32" s="9" t="s">
        <v>42</v>
      </c>
      <c r="L32" s="9"/>
      <c r="M32" s="20"/>
      <c r="N32" s="9"/>
      <c r="O32" s="9"/>
    </row>
    <row r="33" spans="1:15" x14ac:dyDescent="0.15">
      <c r="A33" s="8">
        <v>43865</v>
      </c>
      <c r="B33" s="9">
        <v>8</v>
      </c>
      <c r="C33" s="9" t="s">
        <v>187</v>
      </c>
      <c r="D33" s="9" t="s">
        <v>222</v>
      </c>
      <c r="E33" s="9"/>
      <c r="F33" s="9">
        <v>1</v>
      </c>
      <c r="G33" s="20" t="s">
        <v>223</v>
      </c>
      <c r="H33" s="9" t="s">
        <v>40</v>
      </c>
      <c r="I33" s="9"/>
      <c r="J33" s="20" t="s">
        <v>20</v>
      </c>
      <c r="K33" s="9"/>
      <c r="L33" s="9"/>
      <c r="M33" s="20" t="s">
        <v>33</v>
      </c>
      <c r="N33" s="9" t="s">
        <v>130</v>
      </c>
      <c r="O33" s="9"/>
    </row>
    <row r="34" spans="1:15" x14ac:dyDescent="0.15">
      <c r="A34" s="8">
        <v>43865</v>
      </c>
      <c r="B34" s="9">
        <v>8</v>
      </c>
      <c r="C34" s="9" t="s">
        <v>185</v>
      </c>
      <c r="D34" s="9" t="s">
        <v>224</v>
      </c>
      <c r="E34" s="9">
        <v>2621</v>
      </c>
      <c r="F34" s="9">
        <v>1</v>
      </c>
      <c r="G34" s="20" t="s">
        <v>225</v>
      </c>
      <c r="H34" s="9"/>
      <c r="I34" s="9"/>
      <c r="J34" s="20" t="s">
        <v>226</v>
      </c>
      <c r="K34" s="9" t="s">
        <v>227</v>
      </c>
      <c r="L34" s="9"/>
      <c r="M34" s="20" t="s">
        <v>228</v>
      </c>
      <c r="N34" s="9"/>
      <c r="O34" s="9"/>
    </row>
    <row r="35" spans="1:15" x14ac:dyDescent="0.15">
      <c r="A35" s="8">
        <v>43865</v>
      </c>
      <c r="B35" s="9">
        <v>8</v>
      </c>
      <c r="C35" s="9" t="s">
        <v>187</v>
      </c>
      <c r="D35" s="9" t="s">
        <v>229</v>
      </c>
      <c r="E35" s="9">
        <v>2599</v>
      </c>
      <c r="F35" s="9">
        <v>0</v>
      </c>
      <c r="G35" s="20" t="s">
        <v>230</v>
      </c>
      <c r="H35" s="9"/>
      <c r="I35" s="9"/>
      <c r="J35" s="20" t="s">
        <v>24</v>
      </c>
      <c r="K35" s="9"/>
      <c r="L35" s="9"/>
      <c r="M35" s="20" t="s">
        <v>231</v>
      </c>
      <c r="N35" s="9"/>
      <c r="O35" s="9"/>
    </row>
    <row r="36" spans="1:15" x14ac:dyDescent="0.15">
      <c r="A36" s="8">
        <v>43865</v>
      </c>
      <c r="B36" s="9">
        <v>8</v>
      </c>
      <c r="C36" s="9" t="s">
        <v>185</v>
      </c>
      <c r="D36" s="9" t="s">
        <v>232</v>
      </c>
      <c r="E36" s="9">
        <v>2533</v>
      </c>
      <c r="F36" s="9">
        <v>0</v>
      </c>
      <c r="G36" s="20" t="s">
        <v>43</v>
      </c>
      <c r="H36" s="9"/>
      <c r="I36" s="9"/>
      <c r="J36" s="20" t="s">
        <v>95</v>
      </c>
      <c r="K36" s="9"/>
      <c r="L36" s="9"/>
      <c r="M36" s="20" t="s">
        <v>194</v>
      </c>
      <c r="N36" s="9"/>
      <c r="O36" s="9"/>
    </row>
    <row r="37" spans="1:15" x14ac:dyDescent="0.15">
      <c r="A37" s="8">
        <v>43866</v>
      </c>
      <c r="B37" s="9">
        <v>8</v>
      </c>
      <c r="C37" s="9" t="s">
        <v>185</v>
      </c>
      <c r="D37" s="9" t="s">
        <v>233</v>
      </c>
      <c r="E37" s="9">
        <v>2606</v>
      </c>
      <c r="F37" s="9">
        <v>0</v>
      </c>
      <c r="G37" s="20" t="s">
        <v>234</v>
      </c>
      <c r="H37" s="9" t="s">
        <v>87</v>
      </c>
      <c r="I37" s="9" t="s">
        <v>139</v>
      </c>
      <c r="J37" s="20" t="s">
        <v>19</v>
      </c>
      <c r="K37" s="9" t="s">
        <v>28</v>
      </c>
      <c r="L37" s="9"/>
      <c r="M37" s="20" t="s">
        <v>235</v>
      </c>
      <c r="N37" s="9" t="s">
        <v>138</v>
      </c>
      <c r="O37" s="9"/>
    </row>
    <row r="38" spans="1:15" x14ac:dyDescent="0.15">
      <c r="A38" s="8">
        <v>43866</v>
      </c>
      <c r="B38" s="9">
        <v>8</v>
      </c>
      <c r="C38" s="9" t="s">
        <v>187</v>
      </c>
      <c r="D38" s="9" t="s">
        <v>236</v>
      </c>
      <c r="E38" s="9">
        <v>2520</v>
      </c>
      <c r="F38" s="9">
        <v>0</v>
      </c>
      <c r="G38" s="20" t="s">
        <v>95</v>
      </c>
      <c r="H38" s="9" t="s">
        <v>209</v>
      </c>
      <c r="I38" s="9"/>
      <c r="J38" s="20" t="s">
        <v>194</v>
      </c>
      <c r="K38" s="9" t="s">
        <v>237</v>
      </c>
      <c r="L38" s="9"/>
      <c r="M38" s="20" t="s">
        <v>218</v>
      </c>
      <c r="N38" s="9" t="s">
        <v>140</v>
      </c>
      <c r="O38" s="9"/>
    </row>
    <row r="39" spans="1:15" x14ac:dyDescent="0.15">
      <c r="A39" s="8">
        <v>43866</v>
      </c>
      <c r="B39" s="9">
        <v>8</v>
      </c>
      <c r="C39" s="9" t="s">
        <v>185</v>
      </c>
      <c r="D39" s="9" t="s">
        <v>238</v>
      </c>
      <c r="E39" s="9">
        <v>2638</v>
      </c>
      <c r="F39" s="9">
        <v>1</v>
      </c>
      <c r="G39" s="20" t="s">
        <v>218</v>
      </c>
      <c r="H39" s="9"/>
      <c r="I39" s="9"/>
      <c r="J39" s="20" t="s">
        <v>239</v>
      </c>
      <c r="K39" s="9" t="s">
        <v>34</v>
      </c>
      <c r="L39" s="9" t="s">
        <v>121</v>
      </c>
      <c r="M39" s="20" t="s">
        <v>36</v>
      </c>
      <c r="N39" s="9" t="s">
        <v>141</v>
      </c>
      <c r="O39" s="9"/>
    </row>
    <row r="40" spans="1:15" x14ac:dyDescent="0.15">
      <c r="A40" s="8">
        <v>43866</v>
      </c>
      <c r="B40" s="9">
        <v>8</v>
      </c>
      <c r="C40" s="9" t="s">
        <v>185</v>
      </c>
      <c r="D40" s="9" t="s">
        <v>240</v>
      </c>
      <c r="E40" s="9">
        <v>2495</v>
      </c>
      <c r="F40" s="9">
        <v>0</v>
      </c>
      <c r="G40" s="20" t="s">
        <v>20</v>
      </c>
      <c r="H40" s="9"/>
      <c r="I40" s="9"/>
      <c r="J40" s="20" t="s">
        <v>24</v>
      </c>
      <c r="K40" s="9"/>
      <c r="L40" s="9"/>
      <c r="M40" s="20" t="s">
        <v>43</v>
      </c>
      <c r="N40" s="9" t="s">
        <v>142</v>
      </c>
      <c r="O40" s="9"/>
    </row>
    <row r="41" spans="1:15" x14ac:dyDescent="0.15">
      <c r="A41" s="8">
        <v>43866</v>
      </c>
      <c r="B41" s="9">
        <v>8</v>
      </c>
      <c r="C41" s="9" t="s">
        <v>185</v>
      </c>
      <c r="D41" s="9" t="s">
        <v>241</v>
      </c>
      <c r="E41" s="9">
        <v>2521</v>
      </c>
      <c r="F41" s="9">
        <v>0</v>
      </c>
      <c r="G41" s="20" t="s">
        <v>188</v>
      </c>
      <c r="H41" s="9" t="s">
        <v>242</v>
      </c>
      <c r="I41" s="9"/>
      <c r="J41" s="20" t="s">
        <v>24</v>
      </c>
      <c r="K41" s="9" t="s">
        <v>27</v>
      </c>
      <c r="L41" s="9"/>
      <c r="M41" s="20" t="s">
        <v>59</v>
      </c>
      <c r="N41" s="9" t="s">
        <v>97</v>
      </c>
      <c r="O41" s="9"/>
    </row>
    <row r="42" spans="1:15" x14ac:dyDescent="0.15">
      <c r="A42" s="8">
        <v>43866</v>
      </c>
      <c r="B42" s="9">
        <v>8</v>
      </c>
      <c r="C42" s="9" t="s">
        <v>185</v>
      </c>
      <c r="D42" s="9" t="s">
        <v>243</v>
      </c>
      <c r="E42" s="9">
        <v>2586</v>
      </c>
      <c r="F42" s="9">
        <v>1</v>
      </c>
      <c r="G42" s="20" t="s">
        <v>244</v>
      </c>
      <c r="H42" s="9" t="s">
        <v>245</v>
      </c>
      <c r="I42" s="9"/>
      <c r="J42" s="20" t="s">
        <v>225</v>
      </c>
      <c r="K42" s="9" t="s">
        <v>42</v>
      </c>
      <c r="L42" s="9"/>
      <c r="M42" s="20" t="s">
        <v>246</v>
      </c>
      <c r="N42" s="9" t="s">
        <v>162</v>
      </c>
      <c r="O42" s="9"/>
    </row>
    <row r="43" spans="1:15" x14ac:dyDescent="0.15">
      <c r="A43" s="8">
        <v>43866</v>
      </c>
      <c r="B43" s="9">
        <v>8</v>
      </c>
      <c r="C43" s="9" t="s">
        <v>185</v>
      </c>
      <c r="D43" s="9" t="s">
        <v>247</v>
      </c>
      <c r="E43" s="9">
        <v>2503</v>
      </c>
      <c r="F43" s="9">
        <v>0</v>
      </c>
      <c r="G43" s="20" t="s">
        <v>248</v>
      </c>
      <c r="H43" s="9" t="s">
        <v>26</v>
      </c>
      <c r="I43" s="9"/>
      <c r="J43" s="20" t="s">
        <v>249</v>
      </c>
      <c r="K43" s="9" t="s">
        <v>28</v>
      </c>
      <c r="L43" s="9"/>
      <c r="M43" s="20" t="s">
        <v>250</v>
      </c>
      <c r="N43" s="9"/>
      <c r="O43" s="9"/>
    </row>
    <row r="44" spans="1:15" x14ac:dyDescent="0.15">
      <c r="A44" s="8">
        <v>43866</v>
      </c>
      <c r="B44" s="9">
        <v>8</v>
      </c>
      <c r="C44" s="9" t="s">
        <v>185</v>
      </c>
      <c r="D44" s="9" t="s">
        <v>251</v>
      </c>
      <c r="E44" s="9">
        <v>2524</v>
      </c>
      <c r="F44" s="9">
        <v>0</v>
      </c>
      <c r="G44" s="20" t="s">
        <v>61</v>
      </c>
      <c r="H44" s="9"/>
      <c r="I44" s="9"/>
      <c r="J44" s="20" t="s">
        <v>46</v>
      </c>
      <c r="K44" s="9"/>
      <c r="L44" s="9"/>
      <c r="M44" s="20" t="s">
        <v>239</v>
      </c>
      <c r="N44" s="9"/>
      <c r="O44" s="9"/>
    </row>
    <row r="45" spans="1:15" x14ac:dyDescent="0.15">
      <c r="A45" s="8">
        <v>43869</v>
      </c>
      <c r="B45" s="9">
        <v>8</v>
      </c>
      <c r="C45" s="9" t="s">
        <v>185</v>
      </c>
      <c r="D45" s="9" t="s">
        <v>252</v>
      </c>
      <c r="E45" s="9">
        <v>2525</v>
      </c>
      <c r="F45" s="9">
        <v>1</v>
      </c>
      <c r="G45" s="20" t="s">
        <v>61</v>
      </c>
      <c r="H45" s="9"/>
      <c r="I45" s="9"/>
      <c r="J45" s="20" t="s">
        <v>24</v>
      </c>
      <c r="K45" s="9"/>
      <c r="L45" s="9"/>
      <c r="M45" s="20" t="s">
        <v>253</v>
      </c>
      <c r="N45" s="9"/>
      <c r="O45" s="9"/>
    </row>
    <row r="46" spans="1:15" x14ac:dyDescent="0.15">
      <c r="A46" s="8">
        <v>43870</v>
      </c>
      <c r="B46" s="9">
        <v>8</v>
      </c>
      <c r="C46" s="9" t="s">
        <v>185</v>
      </c>
      <c r="D46" s="9" t="s">
        <v>254</v>
      </c>
      <c r="E46" s="9">
        <v>2563</v>
      </c>
      <c r="F46" s="9">
        <v>0</v>
      </c>
      <c r="G46" s="20" t="s">
        <v>255</v>
      </c>
      <c r="H46" s="9"/>
      <c r="I46" s="9"/>
      <c r="J46" s="20" t="s">
        <v>188</v>
      </c>
      <c r="K46" s="9"/>
      <c r="L46" s="9"/>
      <c r="M46" s="20" t="s">
        <v>36</v>
      </c>
      <c r="N46" s="9"/>
      <c r="O46" s="9"/>
    </row>
    <row r="47" spans="1:15" x14ac:dyDescent="0.15">
      <c r="A47" s="8">
        <v>43871</v>
      </c>
      <c r="B47" s="9">
        <v>8</v>
      </c>
      <c r="C47" s="9" t="s">
        <v>185</v>
      </c>
      <c r="D47" s="9" t="s">
        <v>256</v>
      </c>
      <c r="E47" s="9">
        <v>2724</v>
      </c>
      <c r="F47" s="9">
        <v>1</v>
      </c>
      <c r="G47" s="20" t="s">
        <v>194</v>
      </c>
      <c r="H47" s="9"/>
      <c r="I47" s="9"/>
      <c r="J47" s="20" t="s">
        <v>257</v>
      </c>
      <c r="K47" s="9"/>
      <c r="L47" s="9"/>
      <c r="M47" s="20" t="s">
        <v>218</v>
      </c>
      <c r="N47" s="9"/>
      <c r="O47" s="9"/>
    </row>
    <row r="48" spans="1:15" x14ac:dyDescent="0.15">
      <c r="A48" s="8">
        <v>43872</v>
      </c>
      <c r="B48" s="9">
        <v>8</v>
      </c>
      <c r="C48" s="9" t="s">
        <v>185</v>
      </c>
      <c r="D48" s="9" t="s">
        <v>258</v>
      </c>
      <c r="E48" s="9">
        <v>2718</v>
      </c>
      <c r="F48" s="9">
        <v>0</v>
      </c>
      <c r="G48" s="20" t="s">
        <v>91</v>
      </c>
      <c r="H48" s="9"/>
      <c r="I48" s="9"/>
      <c r="J48" s="20"/>
      <c r="K48" s="9"/>
      <c r="L48" s="9"/>
      <c r="M48" s="20"/>
      <c r="N48" s="9"/>
      <c r="O48" s="9"/>
    </row>
    <row r="49" spans="1:15" x14ac:dyDescent="0.15">
      <c r="A49" s="8">
        <v>43872</v>
      </c>
      <c r="B49" s="9">
        <v>8</v>
      </c>
      <c r="C49" s="9" t="s">
        <v>185</v>
      </c>
      <c r="D49" s="9" t="s">
        <v>259</v>
      </c>
      <c r="E49" s="9">
        <v>2597</v>
      </c>
      <c r="F49" s="9">
        <v>1</v>
      </c>
      <c r="G49" s="20" t="s">
        <v>188</v>
      </c>
      <c r="H49" s="9"/>
      <c r="I49" s="9"/>
      <c r="J49" s="20" t="s">
        <v>260</v>
      </c>
      <c r="K49" s="9"/>
      <c r="L49" s="9"/>
      <c r="M49" s="20" t="s">
        <v>24</v>
      </c>
      <c r="N49" s="9"/>
      <c r="O49" s="9"/>
    </row>
    <row r="50" spans="1:15" x14ac:dyDescent="0.15">
      <c r="A50" s="8">
        <v>43872</v>
      </c>
      <c r="B50" s="9">
        <v>8</v>
      </c>
      <c r="C50" s="9" t="s">
        <v>187</v>
      </c>
      <c r="D50" s="9" t="s">
        <v>261</v>
      </c>
      <c r="E50" s="9">
        <v>2626</v>
      </c>
      <c r="F50" s="9">
        <v>0</v>
      </c>
      <c r="G50" s="20" t="s">
        <v>43</v>
      </c>
      <c r="H50" s="9"/>
      <c r="I50" s="9"/>
      <c r="J50" s="20" t="s">
        <v>262</v>
      </c>
      <c r="K50" s="9"/>
      <c r="L50" s="9"/>
      <c r="M50" s="20"/>
      <c r="N50" s="9"/>
      <c r="O50" s="9"/>
    </row>
    <row r="51" spans="1:15" x14ac:dyDescent="0.15">
      <c r="A51" s="8">
        <v>43872</v>
      </c>
      <c r="B51" s="9">
        <v>8</v>
      </c>
      <c r="C51" s="9" t="s">
        <v>185</v>
      </c>
      <c r="D51" s="9" t="s">
        <v>263</v>
      </c>
      <c r="E51" s="9"/>
      <c r="F51" s="9">
        <v>1</v>
      </c>
      <c r="G51" s="20" t="s">
        <v>264</v>
      </c>
      <c r="H51" s="9"/>
      <c r="I51" s="9"/>
      <c r="J51" s="20" t="s">
        <v>98</v>
      </c>
      <c r="K51" s="9" t="s">
        <v>265</v>
      </c>
      <c r="L51" s="9"/>
      <c r="M51" s="20" t="s">
        <v>188</v>
      </c>
      <c r="N51" s="9"/>
      <c r="O51" s="9"/>
    </row>
    <row r="52" spans="1:15" x14ac:dyDescent="0.15">
      <c r="A52" s="8">
        <v>43872</v>
      </c>
      <c r="B52" s="9">
        <v>8</v>
      </c>
      <c r="C52" s="9" t="s">
        <v>185</v>
      </c>
      <c r="D52" s="9" t="s">
        <v>266</v>
      </c>
      <c r="E52" s="9">
        <v>2653</v>
      </c>
      <c r="F52" s="9">
        <v>0</v>
      </c>
      <c r="G52" s="20" t="s">
        <v>194</v>
      </c>
      <c r="H52" s="9"/>
      <c r="I52" s="9"/>
      <c r="J52" s="20" t="s">
        <v>199</v>
      </c>
      <c r="K52" s="9"/>
      <c r="L52" s="9"/>
      <c r="M52" s="20" t="s">
        <v>267</v>
      </c>
      <c r="N52" s="9"/>
      <c r="O52" s="9"/>
    </row>
    <row r="53" spans="1:15" x14ac:dyDescent="0.15">
      <c r="A53" s="8">
        <v>43872</v>
      </c>
      <c r="B53" s="9">
        <v>8</v>
      </c>
      <c r="C53" s="9" t="s">
        <v>185</v>
      </c>
      <c r="D53" s="9" t="s">
        <v>268</v>
      </c>
      <c r="E53" s="9">
        <v>2516</v>
      </c>
      <c r="F53" s="9">
        <v>0</v>
      </c>
      <c r="G53" s="20" t="s">
        <v>43</v>
      </c>
      <c r="H53" s="9"/>
      <c r="I53" s="9"/>
      <c r="J53" s="20" t="s">
        <v>95</v>
      </c>
      <c r="K53" s="9"/>
      <c r="L53" s="9"/>
      <c r="M53" s="20" t="s">
        <v>36</v>
      </c>
      <c r="N53" s="9"/>
      <c r="O53" s="9"/>
    </row>
    <row r="54" spans="1:15" x14ac:dyDescent="0.15">
      <c r="A54" s="8">
        <v>43872</v>
      </c>
      <c r="B54" s="9">
        <v>8</v>
      </c>
      <c r="C54" s="9" t="s">
        <v>185</v>
      </c>
      <c r="D54" s="9" t="s">
        <v>269</v>
      </c>
      <c r="E54" s="9">
        <v>2582</v>
      </c>
      <c r="F54" s="9"/>
      <c r="G54" s="20" t="s">
        <v>191</v>
      </c>
      <c r="H54" s="9"/>
      <c r="I54" s="9"/>
      <c r="J54" s="20" t="s">
        <v>43</v>
      </c>
      <c r="K54" s="9"/>
      <c r="L54" s="9"/>
      <c r="M54" s="20" t="s">
        <v>270</v>
      </c>
      <c r="N54" s="9"/>
      <c r="O54" s="9"/>
    </row>
    <row r="55" spans="1:15" x14ac:dyDescent="0.15">
      <c r="A55" s="8">
        <v>43872</v>
      </c>
      <c r="B55" s="9">
        <v>8</v>
      </c>
      <c r="C55" s="9" t="s">
        <v>185</v>
      </c>
      <c r="D55" s="9" t="s">
        <v>271</v>
      </c>
      <c r="E55" s="9"/>
      <c r="F55" s="9">
        <v>1</v>
      </c>
      <c r="G55" s="20" t="s">
        <v>61</v>
      </c>
      <c r="H55" s="9"/>
      <c r="I55" s="9"/>
      <c r="J55" s="20" t="s">
        <v>36</v>
      </c>
      <c r="K55" s="9"/>
      <c r="L55" s="9"/>
      <c r="M55" s="20" t="s">
        <v>24</v>
      </c>
      <c r="N55" s="9"/>
      <c r="O55" s="9"/>
    </row>
    <row r="56" spans="1:15" x14ac:dyDescent="0.15">
      <c r="A56" s="8">
        <v>43872</v>
      </c>
      <c r="B56" s="9">
        <v>8</v>
      </c>
      <c r="C56" s="9" t="s">
        <v>185</v>
      </c>
      <c r="D56" s="9" t="s">
        <v>272</v>
      </c>
      <c r="E56" s="9">
        <v>2784</v>
      </c>
      <c r="F56" s="9">
        <v>1</v>
      </c>
      <c r="G56" s="20" t="s">
        <v>24</v>
      </c>
      <c r="H56" s="9"/>
      <c r="I56" s="9"/>
      <c r="J56" s="20" t="s">
        <v>35</v>
      </c>
      <c r="K56" s="9" t="s">
        <v>52</v>
      </c>
      <c r="L56" s="9"/>
      <c r="M56" s="20" t="s">
        <v>273</v>
      </c>
      <c r="N56" s="9"/>
      <c r="O56" s="9"/>
    </row>
    <row r="57" spans="1:15" x14ac:dyDescent="0.15">
      <c r="A57" s="8">
        <v>43872</v>
      </c>
      <c r="B57" s="9">
        <v>8</v>
      </c>
      <c r="C57" s="9" t="s">
        <v>185</v>
      </c>
      <c r="D57" s="9" t="s">
        <v>274</v>
      </c>
      <c r="E57" s="9">
        <v>2568</v>
      </c>
      <c r="F57" s="9">
        <v>0</v>
      </c>
      <c r="G57" s="20" t="s">
        <v>36</v>
      </c>
      <c r="H57" s="9"/>
      <c r="I57" s="9"/>
      <c r="J57" s="20" t="s">
        <v>19</v>
      </c>
      <c r="K57" s="9"/>
      <c r="L57" s="9"/>
      <c r="M57" s="20" t="s">
        <v>24</v>
      </c>
      <c r="N57" s="9"/>
      <c r="O57" s="9"/>
    </row>
    <row r="58" spans="1:15" x14ac:dyDescent="0.15">
      <c r="A58" s="8">
        <v>43872</v>
      </c>
      <c r="B58" s="9">
        <v>8</v>
      </c>
      <c r="C58" s="9" t="s">
        <v>187</v>
      </c>
      <c r="D58" s="9" t="s">
        <v>275</v>
      </c>
      <c r="E58" s="9">
        <v>2542</v>
      </c>
      <c r="F58" s="9">
        <v>1</v>
      </c>
      <c r="G58" s="20" t="s">
        <v>225</v>
      </c>
      <c r="H58" s="9"/>
      <c r="I58" s="9"/>
      <c r="J58" s="20" t="s">
        <v>43</v>
      </c>
      <c r="K58" s="9"/>
      <c r="L58" s="9"/>
      <c r="M58" s="20" t="s">
        <v>276</v>
      </c>
      <c r="N58" s="9"/>
      <c r="O58" s="9"/>
    </row>
    <row r="59" spans="1:15" x14ac:dyDescent="0.15">
      <c r="A59" s="8">
        <v>43872</v>
      </c>
      <c r="B59" s="9">
        <v>8</v>
      </c>
      <c r="C59" s="9" t="s">
        <v>185</v>
      </c>
      <c r="D59" s="9" t="s">
        <v>277</v>
      </c>
      <c r="E59" s="9">
        <v>2586</v>
      </c>
      <c r="F59" s="9">
        <v>1</v>
      </c>
      <c r="G59" s="20" t="s">
        <v>24</v>
      </c>
      <c r="H59" s="9"/>
      <c r="I59" s="9"/>
      <c r="J59" s="20" t="s">
        <v>43</v>
      </c>
      <c r="K59" s="9"/>
      <c r="L59" s="9"/>
      <c r="M59" s="20" t="s">
        <v>20</v>
      </c>
      <c r="N59" s="9"/>
      <c r="O59" s="9"/>
    </row>
    <row r="60" spans="1:15" x14ac:dyDescent="0.15">
      <c r="A60" s="8">
        <v>43872</v>
      </c>
      <c r="B60" s="9">
        <v>8</v>
      </c>
      <c r="C60" s="9" t="s">
        <v>187</v>
      </c>
      <c r="D60" s="9" t="s">
        <v>278</v>
      </c>
      <c r="E60" s="9">
        <v>2581</v>
      </c>
      <c r="F60" s="9">
        <v>0</v>
      </c>
      <c r="G60" s="20" t="s">
        <v>279</v>
      </c>
      <c r="H60" s="9" t="s">
        <v>97</v>
      </c>
      <c r="I60" s="9"/>
      <c r="J60" s="20" t="s">
        <v>36</v>
      </c>
      <c r="K60" s="9"/>
      <c r="L60" s="9"/>
      <c r="M60" s="20" t="s">
        <v>280</v>
      </c>
      <c r="N60" s="9"/>
      <c r="O60" s="9"/>
    </row>
    <row r="61" spans="1:15" x14ac:dyDescent="0.15">
      <c r="A61" s="8">
        <v>43872</v>
      </c>
      <c r="B61" s="9">
        <v>8</v>
      </c>
      <c r="C61" s="9" t="s">
        <v>185</v>
      </c>
      <c r="D61" s="9" t="s">
        <v>281</v>
      </c>
      <c r="E61" s="9">
        <v>2741</v>
      </c>
      <c r="F61" s="9">
        <v>0</v>
      </c>
      <c r="G61" s="20" t="s">
        <v>39</v>
      </c>
      <c r="H61" s="9"/>
      <c r="I61" s="9"/>
      <c r="J61" s="20" t="s">
        <v>253</v>
      </c>
      <c r="K61" s="9"/>
      <c r="L61" s="9"/>
      <c r="M61" s="20" t="s">
        <v>24</v>
      </c>
      <c r="N61" s="9"/>
      <c r="O61" s="9"/>
    </row>
    <row r="62" spans="1:15" x14ac:dyDescent="0.15">
      <c r="A62" s="8">
        <v>43873</v>
      </c>
      <c r="B62" s="9">
        <v>8</v>
      </c>
      <c r="C62" s="9" t="s">
        <v>186</v>
      </c>
      <c r="D62" s="9" t="s">
        <v>370</v>
      </c>
      <c r="E62" s="9">
        <v>2556</v>
      </c>
      <c r="F62" s="9">
        <v>1</v>
      </c>
      <c r="G62" s="20" t="s">
        <v>372</v>
      </c>
      <c r="H62" s="9"/>
      <c r="I62" s="9"/>
      <c r="J62" s="20" t="s">
        <v>291</v>
      </c>
      <c r="K62" s="9"/>
      <c r="L62" s="9"/>
      <c r="M62" s="20" t="s">
        <v>310</v>
      </c>
      <c r="N62" s="9"/>
      <c r="O62" s="9"/>
    </row>
    <row r="63" spans="1:15" x14ac:dyDescent="0.15">
      <c r="A63" s="8">
        <v>43873</v>
      </c>
      <c r="B63" s="9">
        <v>8</v>
      </c>
      <c r="C63" s="9" t="s">
        <v>186</v>
      </c>
      <c r="D63" s="9" t="s">
        <v>373</v>
      </c>
      <c r="E63" s="9">
        <v>2757</v>
      </c>
      <c r="F63" s="9">
        <v>1</v>
      </c>
      <c r="G63" s="20" t="s">
        <v>375</v>
      </c>
      <c r="H63" s="9"/>
      <c r="I63" s="9"/>
      <c r="J63" s="20" t="s">
        <v>291</v>
      </c>
      <c r="K63" s="9"/>
      <c r="L63" s="9"/>
      <c r="M63" s="20" t="s">
        <v>374</v>
      </c>
      <c r="N63" s="9"/>
      <c r="O63" s="9"/>
    </row>
    <row r="64" spans="1:15" x14ac:dyDescent="0.15">
      <c r="A64" s="8">
        <v>43873</v>
      </c>
      <c r="B64" s="9">
        <v>8</v>
      </c>
      <c r="C64" s="9" t="s">
        <v>186</v>
      </c>
      <c r="D64" s="9"/>
      <c r="E64" s="9"/>
      <c r="F64" s="9">
        <v>0</v>
      </c>
      <c r="G64" s="20" t="s">
        <v>291</v>
      </c>
      <c r="H64" s="9"/>
      <c r="I64" s="9"/>
      <c r="J64" s="20" t="s">
        <v>293</v>
      </c>
      <c r="K64" s="9"/>
      <c r="L64" s="9"/>
      <c r="M64" s="20" t="s">
        <v>353</v>
      </c>
      <c r="N64" s="9"/>
      <c r="O64" s="9"/>
    </row>
    <row r="65" spans="1:15" x14ac:dyDescent="0.15">
      <c r="A65" s="8">
        <v>43873</v>
      </c>
      <c r="B65" s="9">
        <v>8</v>
      </c>
      <c r="C65" s="9" t="s">
        <v>186</v>
      </c>
      <c r="D65" s="9" t="s">
        <v>392</v>
      </c>
      <c r="E65" s="9">
        <v>2779</v>
      </c>
      <c r="F65" s="9">
        <v>0</v>
      </c>
      <c r="G65" s="20" t="s">
        <v>291</v>
      </c>
      <c r="H65" s="9"/>
      <c r="I65" s="9"/>
      <c r="J65" s="20" t="s">
        <v>359</v>
      </c>
      <c r="K65" s="9"/>
      <c r="L65" s="9"/>
      <c r="M65" s="20" t="s">
        <v>361</v>
      </c>
      <c r="N65" s="9"/>
      <c r="O65" s="9"/>
    </row>
    <row r="66" spans="1:15" x14ac:dyDescent="0.15">
      <c r="A66" s="8">
        <v>43873</v>
      </c>
      <c r="B66" s="9">
        <v>8</v>
      </c>
      <c r="C66" s="9" t="s">
        <v>186</v>
      </c>
      <c r="D66" s="9" t="s">
        <v>393</v>
      </c>
      <c r="E66" s="9">
        <v>2585</v>
      </c>
      <c r="F66" s="9">
        <v>1</v>
      </c>
      <c r="G66" s="20" t="s">
        <v>291</v>
      </c>
      <c r="H66" s="9"/>
      <c r="I66" s="9"/>
      <c r="J66" s="20" t="s">
        <v>181</v>
      </c>
      <c r="K66" s="9"/>
      <c r="L66" s="9"/>
      <c r="M66" s="20" t="s">
        <v>276</v>
      </c>
      <c r="N66" s="9"/>
      <c r="O66" s="9"/>
    </row>
    <row r="67" spans="1:15" x14ac:dyDescent="0.15">
      <c r="A67" s="8">
        <v>43873</v>
      </c>
      <c r="B67" s="9">
        <v>8</v>
      </c>
      <c r="C67" s="9" t="s">
        <v>186</v>
      </c>
      <c r="D67" s="9" t="s">
        <v>394</v>
      </c>
      <c r="E67" s="9">
        <v>2521</v>
      </c>
      <c r="F67" s="9">
        <v>1</v>
      </c>
      <c r="G67" s="20" t="s">
        <v>396</v>
      </c>
      <c r="H67" s="9"/>
      <c r="I67" s="9"/>
      <c r="J67" s="20" t="s">
        <v>398</v>
      </c>
      <c r="K67" s="9"/>
      <c r="L67" s="9"/>
      <c r="M67" s="20" t="s">
        <v>400</v>
      </c>
      <c r="N67" s="9"/>
      <c r="O67" s="9"/>
    </row>
    <row r="68" spans="1:15" x14ac:dyDescent="0.15">
      <c r="A68" s="8">
        <v>43873</v>
      </c>
      <c r="B68" s="9">
        <v>8</v>
      </c>
      <c r="C68" s="9" t="s">
        <v>186</v>
      </c>
      <c r="D68" s="9" t="s">
        <v>401</v>
      </c>
      <c r="E68" s="9">
        <v>2663</v>
      </c>
      <c r="F68" s="9">
        <v>1</v>
      </c>
      <c r="G68" s="20" t="s">
        <v>276</v>
      </c>
      <c r="H68" s="9"/>
      <c r="I68" s="9"/>
      <c r="J68" s="20" t="s">
        <v>402</v>
      </c>
      <c r="K68" s="9"/>
      <c r="L68" s="9"/>
      <c r="M68" s="20" t="s">
        <v>181</v>
      </c>
      <c r="N68" s="9"/>
      <c r="O68" s="9"/>
    </row>
    <row r="69" spans="1:15" x14ac:dyDescent="0.15">
      <c r="A69" s="8">
        <v>43873</v>
      </c>
      <c r="B69" s="9">
        <v>8</v>
      </c>
      <c r="C69" s="9" t="s">
        <v>186</v>
      </c>
      <c r="D69" s="9" t="s">
        <v>575</v>
      </c>
      <c r="E69" s="9">
        <v>2689</v>
      </c>
      <c r="F69" s="9">
        <v>0</v>
      </c>
      <c r="G69" s="20" t="s">
        <v>81</v>
      </c>
      <c r="H69" s="9"/>
      <c r="I69" s="9"/>
      <c r="J69" s="20" t="s">
        <v>212</v>
      </c>
      <c r="K69" s="9"/>
      <c r="L69" s="9"/>
      <c r="M69" s="20" t="s">
        <v>302</v>
      </c>
      <c r="N69" s="9"/>
      <c r="O69" s="9"/>
    </row>
    <row r="70" spans="1:15" x14ac:dyDescent="0.15">
      <c r="A70" s="8">
        <v>43873</v>
      </c>
      <c r="B70" s="9">
        <v>8</v>
      </c>
      <c r="C70" s="9" t="s">
        <v>186</v>
      </c>
      <c r="D70" s="9" t="s">
        <v>576</v>
      </c>
      <c r="E70" s="9">
        <v>2643</v>
      </c>
      <c r="F70" s="9">
        <v>1</v>
      </c>
      <c r="G70" s="20" t="s">
        <v>387</v>
      </c>
      <c r="H70" s="9"/>
      <c r="I70" s="9"/>
      <c r="J70" s="20" t="s">
        <v>289</v>
      </c>
      <c r="K70" s="9"/>
      <c r="L70" s="9"/>
      <c r="M70" s="20" t="s">
        <v>182</v>
      </c>
      <c r="N70" s="9"/>
      <c r="O70" s="9"/>
    </row>
    <row r="71" spans="1:15" x14ac:dyDescent="0.15">
      <c r="A71" s="8">
        <v>43873</v>
      </c>
      <c r="B71" s="9">
        <v>8</v>
      </c>
      <c r="C71" s="9" t="s">
        <v>186</v>
      </c>
      <c r="D71" s="9" t="s">
        <v>577</v>
      </c>
      <c r="E71" s="9">
        <v>2533</v>
      </c>
      <c r="F71" s="9">
        <v>1</v>
      </c>
      <c r="G71" s="20" t="s">
        <v>46</v>
      </c>
      <c r="H71" s="9"/>
      <c r="I71" s="9"/>
      <c r="J71" s="20" t="s">
        <v>308</v>
      </c>
      <c r="K71" s="9"/>
      <c r="L71" s="9"/>
      <c r="M71" s="20" t="s">
        <v>181</v>
      </c>
      <c r="N71" s="9"/>
      <c r="O71" s="9"/>
    </row>
    <row r="72" spans="1:15" x14ac:dyDescent="0.15">
      <c r="A72" s="8">
        <v>43873</v>
      </c>
      <c r="B72" s="9">
        <v>8</v>
      </c>
      <c r="C72" s="9" t="s">
        <v>186</v>
      </c>
      <c r="D72" s="9" t="s">
        <v>578</v>
      </c>
      <c r="E72" s="9">
        <v>2679</v>
      </c>
      <c r="F72" s="9">
        <v>1</v>
      </c>
      <c r="G72" s="20" t="s">
        <v>285</v>
      </c>
      <c r="H72" s="9"/>
      <c r="I72" s="9"/>
      <c r="J72" s="20" t="s">
        <v>19</v>
      </c>
      <c r="K72" s="9"/>
      <c r="L72" s="9"/>
      <c r="M72" s="20" t="s">
        <v>46</v>
      </c>
      <c r="N72" s="9"/>
      <c r="O72" s="9"/>
    </row>
    <row r="73" spans="1:15" x14ac:dyDescent="0.15">
      <c r="A73" s="8">
        <v>43873</v>
      </c>
      <c r="B73" s="9">
        <v>8</v>
      </c>
      <c r="C73" s="9" t="s">
        <v>186</v>
      </c>
      <c r="D73" s="9" t="s">
        <v>579</v>
      </c>
      <c r="E73" s="9">
        <v>2772</v>
      </c>
      <c r="F73" s="9">
        <v>0</v>
      </c>
      <c r="G73" s="20" t="s">
        <v>46</v>
      </c>
      <c r="H73" s="9"/>
      <c r="I73" s="9"/>
      <c r="J73" s="20" t="s">
        <v>580</v>
      </c>
      <c r="K73" s="9"/>
      <c r="L73" s="9"/>
      <c r="M73" s="20"/>
      <c r="N73" s="9"/>
      <c r="O73" s="9"/>
    </row>
    <row r="74" spans="1:15" x14ac:dyDescent="0.15">
      <c r="A74" s="8">
        <v>43873</v>
      </c>
      <c r="B74" s="9">
        <v>8</v>
      </c>
      <c r="C74" s="9" t="s">
        <v>186</v>
      </c>
      <c r="D74" s="9" t="s">
        <v>581</v>
      </c>
      <c r="E74" s="9">
        <v>2679</v>
      </c>
      <c r="F74" s="9">
        <v>0</v>
      </c>
      <c r="G74" s="20" t="s">
        <v>582</v>
      </c>
      <c r="H74" s="9"/>
      <c r="I74" s="9"/>
      <c r="J74" s="20" t="s">
        <v>583</v>
      </c>
      <c r="K74" s="9"/>
      <c r="L74" s="9"/>
      <c r="M74" s="20" t="s">
        <v>584</v>
      </c>
      <c r="N74" s="9"/>
      <c r="O74" s="9"/>
    </row>
    <row r="75" spans="1:15" x14ac:dyDescent="0.15">
      <c r="A75" s="8">
        <v>43874</v>
      </c>
      <c r="B75" s="9">
        <v>8</v>
      </c>
      <c r="C75" s="9" t="s">
        <v>186</v>
      </c>
      <c r="D75" s="9" t="s">
        <v>585</v>
      </c>
      <c r="E75" s="9">
        <v>2551</v>
      </c>
      <c r="F75" s="9">
        <v>1</v>
      </c>
      <c r="G75" s="20" t="s">
        <v>353</v>
      </c>
      <c r="H75" s="9"/>
      <c r="I75" s="9"/>
      <c r="J75" s="20" t="s">
        <v>325</v>
      </c>
      <c r="K75" s="9"/>
      <c r="L75" s="9"/>
      <c r="M75" s="20" t="s">
        <v>327</v>
      </c>
      <c r="N75" s="9"/>
      <c r="O75" s="9"/>
    </row>
    <row r="76" spans="1:15" x14ac:dyDescent="0.15">
      <c r="A76" s="8">
        <v>43874</v>
      </c>
      <c r="B76" s="9">
        <v>8</v>
      </c>
      <c r="C76" s="9" t="s">
        <v>186</v>
      </c>
      <c r="D76" s="9" t="s">
        <v>586</v>
      </c>
      <c r="E76" s="9">
        <v>2683</v>
      </c>
      <c r="F76" s="9">
        <v>1</v>
      </c>
      <c r="G76" s="20" t="s">
        <v>387</v>
      </c>
      <c r="H76" s="9"/>
      <c r="I76" s="9"/>
      <c r="J76" s="20" t="s">
        <v>279</v>
      </c>
      <c r="K76" s="9"/>
      <c r="L76" s="9"/>
      <c r="M76" s="20" t="s">
        <v>23</v>
      </c>
      <c r="N76" s="9"/>
      <c r="O76" s="9"/>
    </row>
    <row r="77" spans="1:15" x14ac:dyDescent="0.15">
      <c r="A77" s="8">
        <v>43874</v>
      </c>
      <c r="B77" s="9">
        <v>8</v>
      </c>
      <c r="C77" s="9" t="s">
        <v>186</v>
      </c>
      <c r="D77" s="9" t="s">
        <v>587</v>
      </c>
      <c r="E77" s="9">
        <v>2686</v>
      </c>
      <c r="F77" s="9">
        <v>1</v>
      </c>
      <c r="G77" s="20" t="s">
        <v>387</v>
      </c>
      <c r="H77" s="9"/>
      <c r="I77" s="9"/>
      <c r="J77" s="20" t="s">
        <v>588</v>
      </c>
      <c r="K77" s="9"/>
      <c r="L77" s="9"/>
      <c r="M77" s="20" t="s">
        <v>590</v>
      </c>
      <c r="N77" s="9"/>
      <c r="O77" s="9"/>
    </row>
    <row r="78" spans="1:15" x14ac:dyDescent="0.15">
      <c r="A78" s="8">
        <v>43874</v>
      </c>
      <c r="B78" s="32">
        <v>8</v>
      </c>
      <c r="C78" s="32" t="s">
        <v>186</v>
      </c>
      <c r="D78" s="9" t="s">
        <v>591</v>
      </c>
      <c r="E78" s="9">
        <v>2685</v>
      </c>
      <c r="F78" s="9">
        <v>0</v>
      </c>
      <c r="G78" s="20" t="s">
        <v>592</v>
      </c>
      <c r="H78" s="9"/>
      <c r="I78" s="9"/>
      <c r="J78" s="20" t="s">
        <v>593</v>
      </c>
      <c r="K78" s="9"/>
      <c r="L78" s="9"/>
      <c r="M78" s="20" t="s">
        <v>594</v>
      </c>
      <c r="N78" s="9" t="s">
        <v>609</v>
      </c>
      <c r="O78" s="9"/>
    </row>
    <row r="79" spans="1:15" x14ac:dyDescent="0.15">
      <c r="A79" s="8">
        <v>43874</v>
      </c>
      <c r="B79" s="32">
        <v>8</v>
      </c>
      <c r="C79" s="32" t="s">
        <v>186</v>
      </c>
      <c r="D79" s="9" t="s">
        <v>595</v>
      </c>
      <c r="E79" s="9">
        <v>2820</v>
      </c>
      <c r="F79" s="9">
        <v>0</v>
      </c>
      <c r="G79" s="20" t="s">
        <v>596</v>
      </c>
      <c r="H79" s="9"/>
      <c r="I79" s="9"/>
      <c r="J79" s="20" t="s">
        <v>289</v>
      </c>
      <c r="K79" s="9"/>
      <c r="L79" s="9"/>
      <c r="M79" s="20"/>
      <c r="N79" s="9"/>
      <c r="O79" s="9"/>
    </row>
    <row r="80" spans="1:15" x14ac:dyDescent="0.15">
      <c r="A80" s="8">
        <v>43874</v>
      </c>
      <c r="B80" s="32">
        <v>8</v>
      </c>
      <c r="C80" s="32" t="s">
        <v>186</v>
      </c>
      <c r="D80" s="9" t="s">
        <v>597</v>
      </c>
      <c r="E80" s="9">
        <v>2606</v>
      </c>
      <c r="F80" s="9">
        <v>0</v>
      </c>
      <c r="G80" s="20" t="s">
        <v>598</v>
      </c>
      <c r="H80" s="9"/>
      <c r="I80" s="9"/>
      <c r="J80" s="20" t="s">
        <v>599</v>
      </c>
      <c r="K80" s="32" t="s">
        <v>608</v>
      </c>
      <c r="L80" s="9"/>
      <c r="M80" s="20" t="s">
        <v>600</v>
      </c>
      <c r="N80" s="9"/>
      <c r="O80" s="9"/>
    </row>
    <row r="81" spans="1:15" x14ac:dyDescent="0.15">
      <c r="A81" s="8">
        <v>43874</v>
      </c>
      <c r="B81" s="32">
        <v>8</v>
      </c>
      <c r="C81" s="32" t="s">
        <v>186</v>
      </c>
      <c r="D81" s="9" t="s">
        <v>601</v>
      </c>
      <c r="E81" s="9">
        <v>2469</v>
      </c>
      <c r="F81" s="9">
        <v>0</v>
      </c>
      <c r="G81" s="20" t="s">
        <v>602</v>
      </c>
      <c r="H81" s="9"/>
      <c r="I81" s="9"/>
      <c r="J81" s="20" t="s">
        <v>603</v>
      </c>
      <c r="K81" s="9"/>
      <c r="L81" s="9"/>
      <c r="M81" s="20" t="s">
        <v>604</v>
      </c>
      <c r="N81" s="9"/>
      <c r="O81" s="9"/>
    </row>
    <row r="82" spans="1:15" x14ac:dyDescent="0.15">
      <c r="A82" s="8">
        <v>43874</v>
      </c>
      <c r="B82" s="32">
        <v>8</v>
      </c>
      <c r="C82" s="32" t="s">
        <v>186</v>
      </c>
      <c r="D82" s="9" t="s">
        <v>605</v>
      </c>
      <c r="E82" s="9">
        <v>2797</v>
      </c>
      <c r="F82" s="9">
        <v>0</v>
      </c>
      <c r="G82" s="20" t="s">
        <v>19</v>
      </c>
      <c r="H82" s="9"/>
      <c r="I82" s="9"/>
      <c r="J82" s="20" t="s">
        <v>606</v>
      </c>
      <c r="K82" s="9"/>
      <c r="L82" s="9"/>
      <c r="M82" s="20" t="s">
        <v>607</v>
      </c>
      <c r="N82" s="9" t="s">
        <v>608</v>
      </c>
      <c r="O82" s="9"/>
    </row>
    <row r="83" spans="1:15" x14ac:dyDescent="0.15">
      <c r="A83" s="8">
        <v>43874</v>
      </c>
      <c r="B83" s="32">
        <v>8</v>
      </c>
      <c r="C83" s="32" t="s">
        <v>186</v>
      </c>
      <c r="D83" s="9" t="s">
        <v>610</v>
      </c>
      <c r="E83" s="9"/>
      <c r="F83" s="9">
        <v>1</v>
      </c>
      <c r="G83" s="20" t="s">
        <v>226</v>
      </c>
      <c r="H83" s="9"/>
      <c r="I83" s="9"/>
      <c r="J83" s="20" t="s">
        <v>611</v>
      </c>
      <c r="K83" s="9"/>
      <c r="L83" s="9"/>
      <c r="M83" s="20" t="s">
        <v>612</v>
      </c>
      <c r="N83" s="9"/>
      <c r="O83" s="9"/>
    </row>
    <row r="84" spans="1:15" x14ac:dyDescent="0.15">
      <c r="A84" s="8">
        <v>43874</v>
      </c>
      <c r="B84" s="32">
        <v>8</v>
      </c>
      <c r="C84" s="32" t="s">
        <v>186</v>
      </c>
      <c r="D84" s="9" t="s">
        <v>613</v>
      </c>
      <c r="E84" s="9">
        <v>2525</v>
      </c>
      <c r="F84" s="9">
        <v>1</v>
      </c>
      <c r="G84" s="20" t="s">
        <v>614</v>
      </c>
      <c r="H84" s="9"/>
      <c r="I84" s="9"/>
      <c r="J84" s="20" t="s">
        <v>615</v>
      </c>
      <c r="K84" s="9"/>
      <c r="L84" s="9"/>
      <c r="M84" s="20" t="s">
        <v>616</v>
      </c>
      <c r="N84" s="9"/>
      <c r="O84" s="9"/>
    </row>
    <row r="85" spans="1:15" x14ac:dyDescent="0.15">
      <c r="A85" s="8">
        <v>43874</v>
      </c>
      <c r="B85" s="32">
        <v>8</v>
      </c>
      <c r="C85" s="32" t="s">
        <v>186</v>
      </c>
      <c r="D85" s="9" t="s">
        <v>617</v>
      </c>
      <c r="E85" s="9">
        <v>2533</v>
      </c>
      <c r="F85" s="9">
        <v>1</v>
      </c>
      <c r="G85" s="20" t="s">
        <v>618</v>
      </c>
      <c r="H85" s="9"/>
      <c r="I85" s="9"/>
      <c r="J85" s="20" t="s">
        <v>619</v>
      </c>
      <c r="K85" s="9"/>
      <c r="L85" s="9"/>
      <c r="M85" s="20" t="s">
        <v>607</v>
      </c>
      <c r="N85" s="9"/>
      <c r="O85" s="9"/>
    </row>
    <row r="86" spans="1:15" x14ac:dyDescent="0.15">
      <c r="A86" s="8">
        <v>43874</v>
      </c>
      <c r="B86" s="32">
        <v>8</v>
      </c>
      <c r="C86" s="32" t="s">
        <v>186</v>
      </c>
      <c r="D86" s="9" t="s">
        <v>620</v>
      </c>
      <c r="E86" s="9">
        <v>2663</v>
      </c>
      <c r="F86" s="9">
        <v>1</v>
      </c>
      <c r="G86" s="20" t="s">
        <v>46</v>
      </c>
      <c r="H86" s="9"/>
      <c r="I86" s="9"/>
      <c r="J86" s="20" t="s">
        <v>296</v>
      </c>
      <c r="K86" s="9"/>
      <c r="L86" s="9"/>
      <c r="M86" s="20" t="s">
        <v>621</v>
      </c>
      <c r="N86" s="9"/>
      <c r="O86" s="9"/>
    </row>
    <row r="87" spans="1:15" x14ac:dyDescent="0.15">
      <c r="A87" s="8">
        <v>43874</v>
      </c>
      <c r="B87" s="32">
        <v>8</v>
      </c>
      <c r="C87" s="32" t="s">
        <v>186</v>
      </c>
      <c r="D87" s="9" t="s">
        <v>622</v>
      </c>
      <c r="E87" s="9">
        <v>2698</v>
      </c>
      <c r="F87" s="9">
        <v>1</v>
      </c>
      <c r="G87" s="20" t="s">
        <v>623</v>
      </c>
      <c r="H87" s="9"/>
      <c r="I87" s="9"/>
      <c r="J87" s="20" t="s">
        <v>624</v>
      </c>
      <c r="K87" s="9"/>
      <c r="L87" s="9"/>
      <c r="M87" s="20" t="s">
        <v>626</v>
      </c>
      <c r="N87" s="9"/>
      <c r="O87" s="9"/>
    </row>
    <row r="88" spans="1:15" x14ac:dyDescent="0.15">
      <c r="A88" s="8">
        <v>43874</v>
      </c>
      <c r="B88" s="32">
        <v>8</v>
      </c>
      <c r="C88" s="32" t="s">
        <v>186</v>
      </c>
      <c r="D88" s="9" t="s">
        <v>627</v>
      </c>
      <c r="E88" s="9">
        <v>2542</v>
      </c>
      <c r="F88" s="9">
        <v>1</v>
      </c>
      <c r="G88" s="20" t="s">
        <v>46</v>
      </c>
      <c r="H88" s="9"/>
      <c r="I88" s="9"/>
      <c r="J88" s="20" t="s">
        <v>628</v>
      </c>
      <c r="K88" s="9"/>
      <c r="L88" s="9"/>
      <c r="M88" s="20" t="s">
        <v>629</v>
      </c>
      <c r="N88" s="9"/>
      <c r="O88" s="9"/>
    </row>
    <row r="89" spans="1:15" x14ac:dyDescent="0.15">
      <c r="A89" s="8">
        <v>43874</v>
      </c>
      <c r="B89" s="32">
        <v>8</v>
      </c>
      <c r="C89" s="32" t="s">
        <v>186</v>
      </c>
      <c r="D89" s="9" t="s">
        <v>630</v>
      </c>
      <c r="E89" s="9">
        <v>2681</v>
      </c>
      <c r="F89" s="9">
        <v>1</v>
      </c>
      <c r="G89" s="20" t="s">
        <v>276</v>
      </c>
      <c r="H89" s="9"/>
      <c r="I89" s="9"/>
      <c r="J89" s="20" t="s">
        <v>293</v>
      </c>
      <c r="K89" s="9"/>
      <c r="L89" s="9"/>
      <c r="M89" s="20" t="s">
        <v>632</v>
      </c>
      <c r="N89" s="9"/>
      <c r="O89" s="9"/>
    </row>
    <row r="90" spans="1:15" x14ac:dyDescent="0.15">
      <c r="A90" s="8">
        <v>43874</v>
      </c>
      <c r="B90" s="32">
        <v>8</v>
      </c>
      <c r="C90" s="32" t="s">
        <v>639</v>
      </c>
      <c r="D90" s="9" t="s">
        <v>633</v>
      </c>
      <c r="E90" s="9">
        <v>2736</v>
      </c>
      <c r="F90" s="9">
        <v>1</v>
      </c>
      <c r="G90" s="20" t="s">
        <v>621</v>
      </c>
      <c r="H90" s="9"/>
      <c r="I90" s="9"/>
      <c r="J90" s="20" t="s">
        <v>634</v>
      </c>
      <c r="K90" s="9"/>
      <c r="L90" s="9"/>
      <c r="M90" s="20" t="s">
        <v>611</v>
      </c>
      <c r="N90" s="9"/>
      <c r="O90" s="9"/>
    </row>
    <row r="91" spans="1:15" x14ac:dyDescent="0.15">
      <c r="A91" s="8">
        <v>43874</v>
      </c>
      <c r="B91" s="32">
        <v>8</v>
      </c>
      <c r="C91" s="32" t="s">
        <v>639</v>
      </c>
      <c r="D91" s="9" t="s">
        <v>635</v>
      </c>
      <c r="E91" s="9">
        <v>2594</v>
      </c>
      <c r="F91" s="9">
        <v>1</v>
      </c>
      <c r="G91" s="20" t="s">
        <v>593</v>
      </c>
      <c r="H91" s="9"/>
      <c r="I91" s="9"/>
      <c r="J91" s="20" t="s">
        <v>637</v>
      </c>
      <c r="K91" s="9"/>
      <c r="L91" s="9"/>
      <c r="M91" s="20" t="s">
        <v>638</v>
      </c>
      <c r="N91" s="9"/>
      <c r="O91" s="9"/>
    </row>
    <row r="92" spans="1:15" x14ac:dyDescent="0.15">
      <c r="A92" s="8">
        <v>43874</v>
      </c>
      <c r="B92" s="9">
        <v>8</v>
      </c>
      <c r="C92" s="9" t="s">
        <v>639</v>
      </c>
      <c r="D92" s="9" t="s">
        <v>654</v>
      </c>
      <c r="E92" s="9"/>
      <c r="F92" s="9">
        <v>1</v>
      </c>
      <c r="G92" s="20" t="s">
        <v>289</v>
      </c>
      <c r="H92" s="9"/>
      <c r="I92" s="9"/>
      <c r="J92" s="20" t="s">
        <v>291</v>
      </c>
      <c r="K92" s="9"/>
      <c r="L92" s="9"/>
      <c r="M92" s="20" t="s">
        <v>653</v>
      </c>
      <c r="N92" s="9"/>
      <c r="O92" s="9"/>
    </row>
    <row r="93" spans="1:15" x14ac:dyDescent="0.15">
      <c r="A93" s="8">
        <v>43874</v>
      </c>
      <c r="B93" s="9">
        <v>8</v>
      </c>
      <c r="C93" s="9" t="s">
        <v>639</v>
      </c>
      <c r="D93" s="9" t="s">
        <v>649</v>
      </c>
      <c r="E93" s="9">
        <v>2555</v>
      </c>
      <c r="F93" s="9">
        <v>1</v>
      </c>
      <c r="G93" s="20" t="s">
        <v>650</v>
      </c>
      <c r="H93" s="9"/>
      <c r="I93" s="9"/>
      <c r="J93" s="20" t="s">
        <v>651</v>
      </c>
      <c r="K93" s="9"/>
      <c r="L93" s="9"/>
      <c r="M93" s="20" t="s">
        <v>652</v>
      </c>
      <c r="N93" s="9"/>
      <c r="O93" s="9"/>
    </row>
    <row r="94" spans="1:15" x14ac:dyDescent="0.15">
      <c r="A94" s="8">
        <v>43874</v>
      </c>
      <c r="B94" s="9">
        <v>8</v>
      </c>
      <c r="C94" s="9" t="s">
        <v>639</v>
      </c>
      <c r="D94" s="9" t="s">
        <v>655</v>
      </c>
      <c r="E94" s="9">
        <v>2553</v>
      </c>
      <c r="F94" s="9">
        <v>0</v>
      </c>
      <c r="G94" s="20" t="s">
        <v>656</v>
      </c>
      <c r="H94" s="9"/>
      <c r="I94" s="9"/>
      <c r="J94" s="20" t="s">
        <v>657</v>
      </c>
      <c r="K94" s="9"/>
      <c r="L94" s="9"/>
      <c r="M94" s="20" t="s">
        <v>291</v>
      </c>
      <c r="N94" s="9"/>
      <c r="O94" s="9"/>
    </row>
    <row r="95" spans="1:15" x14ac:dyDescent="0.15">
      <c r="A95" s="8">
        <v>43874</v>
      </c>
      <c r="B95" s="9">
        <v>8</v>
      </c>
      <c r="C95" s="9" t="s">
        <v>639</v>
      </c>
      <c r="D95" s="9" t="s">
        <v>658</v>
      </c>
      <c r="E95" s="9">
        <v>2827</v>
      </c>
      <c r="F95" s="9">
        <v>1</v>
      </c>
      <c r="G95" s="20" t="s">
        <v>659</v>
      </c>
      <c r="H95" s="9"/>
      <c r="I95" s="9"/>
      <c r="J95" s="20" t="s">
        <v>35</v>
      </c>
      <c r="K95" s="9"/>
      <c r="L95" s="9"/>
      <c r="M95" s="20" t="s">
        <v>291</v>
      </c>
      <c r="N95" s="9"/>
      <c r="O95" s="9"/>
    </row>
    <row r="96" spans="1:15" x14ac:dyDescent="0.15">
      <c r="A96" s="8"/>
      <c r="B96" s="9"/>
      <c r="C96" s="9"/>
      <c r="D96" s="9"/>
      <c r="E96" s="9"/>
      <c r="F96" s="9"/>
      <c r="G96" s="20"/>
      <c r="H96" s="9"/>
      <c r="I96" s="9"/>
      <c r="J96" s="20"/>
      <c r="K96" s="9"/>
      <c r="L96" s="9"/>
      <c r="M96" s="20"/>
      <c r="N96" s="9"/>
      <c r="O96" s="9"/>
    </row>
    <row r="97" spans="1:15" x14ac:dyDescent="0.15">
      <c r="A97" s="8"/>
      <c r="B97" s="9"/>
      <c r="C97" s="9"/>
      <c r="D97" s="9"/>
      <c r="E97" s="9"/>
      <c r="F97" s="9"/>
      <c r="G97" s="20"/>
      <c r="H97" s="9"/>
      <c r="I97" s="9"/>
      <c r="J97" s="20"/>
      <c r="K97" s="9"/>
      <c r="L97" s="9"/>
      <c r="M97" s="20"/>
      <c r="N97" s="9"/>
      <c r="O97" s="9"/>
    </row>
    <row r="98" spans="1:15" x14ac:dyDescent="0.15">
      <c r="A98" s="8"/>
      <c r="B98" s="9"/>
      <c r="C98" s="9"/>
      <c r="D98" s="9"/>
      <c r="E98" s="9"/>
      <c r="F98" s="9"/>
      <c r="G98" s="20"/>
      <c r="H98" s="9"/>
      <c r="I98" s="9"/>
      <c r="J98" s="20"/>
      <c r="K98" s="9"/>
      <c r="L98" s="9"/>
      <c r="M98" s="20"/>
      <c r="N98" s="9"/>
      <c r="O98" s="9"/>
    </row>
    <row r="99" spans="1:15" x14ac:dyDescent="0.15">
      <c r="A99" s="8"/>
      <c r="B99" s="9"/>
      <c r="C99" s="9"/>
      <c r="D99" s="9"/>
      <c r="E99" s="9"/>
      <c r="F99" s="9"/>
      <c r="G99" s="20"/>
      <c r="H99" s="9"/>
      <c r="I99" s="9"/>
      <c r="J99" s="20"/>
      <c r="K99" s="9"/>
      <c r="L99" s="9"/>
      <c r="M99" s="20"/>
      <c r="N99" s="9"/>
      <c r="O99" s="9"/>
    </row>
    <row r="100" spans="1:15" x14ac:dyDescent="0.15">
      <c r="A100" s="8"/>
      <c r="B100" s="9"/>
      <c r="C100" s="9"/>
      <c r="D100" s="9"/>
      <c r="E100" s="9"/>
      <c r="F100" s="9"/>
      <c r="G100" s="20"/>
      <c r="H100" s="9"/>
      <c r="I100" s="9"/>
      <c r="J100" s="20"/>
      <c r="K100" s="9"/>
      <c r="L100" s="9"/>
      <c r="M100" s="20"/>
      <c r="N100" s="9"/>
      <c r="O100" s="9"/>
    </row>
    <row r="101" spans="1:15" x14ac:dyDescent="0.15">
      <c r="A101" s="8"/>
      <c r="B101" s="9"/>
      <c r="C101" s="9"/>
      <c r="D101" s="9"/>
      <c r="E101" s="9"/>
      <c r="F101" s="9"/>
      <c r="G101" s="20"/>
      <c r="H101" s="9"/>
      <c r="I101" s="9"/>
      <c r="J101" s="20"/>
      <c r="K101" s="9"/>
      <c r="L101" s="9"/>
      <c r="M101" s="20"/>
      <c r="N101" s="9"/>
      <c r="O101" s="9"/>
    </row>
    <row r="102" spans="1:15" x14ac:dyDescent="0.15">
      <c r="A102" s="8"/>
      <c r="B102" s="9"/>
      <c r="C102" s="9"/>
      <c r="D102" s="9"/>
      <c r="E102" s="9"/>
      <c r="F102" s="9"/>
      <c r="G102" s="20"/>
      <c r="H102" s="9"/>
      <c r="I102" s="9"/>
      <c r="J102" s="20"/>
      <c r="K102" s="9"/>
      <c r="L102" s="9"/>
      <c r="M102" s="20"/>
      <c r="N102" s="9"/>
      <c r="O102" s="9"/>
    </row>
    <row r="103" spans="1:15" x14ac:dyDescent="0.15">
      <c r="A103" s="8"/>
      <c r="B103" s="9"/>
      <c r="C103" s="9"/>
      <c r="D103" s="9"/>
      <c r="E103" s="9"/>
      <c r="F103" s="9"/>
      <c r="G103" s="20"/>
      <c r="H103" s="9"/>
      <c r="I103" s="9"/>
      <c r="J103" s="20"/>
      <c r="K103" s="9"/>
      <c r="L103" s="9"/>
      <c r="M103" s="20"/>
      <c r="N103" s="9"/>
      <c r="O103" s="9"/>
    </row>
    <row r="104" spans="1:15" x14ac:dyDescent="0.15">
      <c r="A104" s="8"/>
      <c r="B104" s="9"/>
      <c r="C104" s="9"/>
      <c r="D104" s="9"/>
      <c r="E104" s="9"/>
      <c r="F104" s="9"/>
      <c r="G104" s="20"/>
      <c r="H104" s="9"/>
      <c r="I104" s="9"/>
      <c r="J104" s="20"/>
      <c r="K104" s="9"/>
      <c r="L104" s="9"/>
      <c r="M104" s="20"/>
      <c r="N104" s="9"/>
      <c r="O104" s="9"/>
    </row>
    <row r="105" spans="1:15" x14ac:dyDescent="0.15">
      <c r="A105" s="8"/>
      <c r="B105" s="9"/>
      <c r="C105" s="9"/>
      <c r="D105" s="9"/>
      <c r="E105" s="9"/>
      <c r="F105" s="9"/>
      <c r="G105" s="20"/>
      <c r="H105" s="9"/>
      <c r="I105" s="9"/>
      <c r="J105" s="20"/>
      <c r="K105" s="9"/>
      <c r="L105" s="9"/>
      <c r="M105" s="20"/>
      <c r="N105" s="9"/>
      <c r="O105" s="9"/>
    </row>
    <row r="106" spans="1:15" x14ac:dyDescent="0.15">
      <c r="A106" s="8"/>
      <c r="B106" s="9"/>
      <c r="C106" s="9"/>
      <c r="D106" s="9"/>
      <c r="E106" s="9"/>
      <c r="F106" s="9"/>
      <c r="G106" s="20"/>
      <c r="H106" s="9"/>
      <c r="I106" s="9"/>
      <c r="J106" s="20"/>
      <c r="K106" s="9"/>
      <c r="L106" s="9"/>
      <c r="M106" s="20"/>
      <c r="N106" s="9"/>
      <c r="O106" s="9"/>
    </row>
    <row r="107" spans="1:15" x14ac:dyDescent="0.15">
      <c r="A107" s="8"/>
      <c r="B107" s="9"/>
      <c r="C107" s="9"/>
      <c r="D107" s="9"/>
      <c r="E107" s="9"/>
      <c r="F107" s="9"/>
      <c r="G107" s="20"/>
      <c r="H107" s="9"/>
      <c r="I107" s="9"/>
      <c r="J107" s="20"/>
      <c r="K107" s="9"/>
      <c r="L107" s="9"/>
      <c r="M107" s="20"/>
      <c r="N107" s="9"/>
      <c r="O107" s="9"/>
    </row>
    <row r="108" spans="1:15" x14ac:dyDescent="0.15">
      <c r="A108" s="8"/>
      <c r="B108" s="9"/>
      <c r="C108" s="9"/>
      <c r="D108" s="9"/>
      <c r="E108" s="9"/>
      <c r="F108" s="9"/>
      <c r="G108" s="20"/>
      <c r="H108" s="9"/>
      <c r="I108" s="9"/>
      <c r="J108" s="20"/>
      <c r="K108" s="9"/>
      <c r="L108" s="9"/>
      <c r="M108" s="20"/>
      <c r="N108" s="9"/>
      <c r="O108" s="9"/>
    </row>
    <row r="109" spans="1:15" x14ac:dyDescent="0.15">
      <c r="A109" s="8"/>
      <c r="B109" s="9"/>
      <c r="C109" s="9"/>
      <c r="D109" s="9"/>
      <c r="E109" s="9"/>
      <c r="F109" s="9"/>
      <c r="G109" s="20"/>
      <c r="H109" s="9"/>
      <c r="I109" s="9"/>
      <c r="J109" s="20"/>
      <c r="K109" s="9"/>
      <c r="L109" s="9"/>
      <c r="M109" s="20"/>
      <c r="N109" s="9"/>
      <c r="O109" s="9"/>
    </row>
    <row r="110" spans="1:15" x14ac:dyDescent="0.15">
      <c r="A110" s="8"/>
      <c r="B110" s="9"/>
      <c r="C110" s="9"/>
      <c r="D110" s="9"/>
      <c r="E110" s="9"/>
      <c r="F110" s="9"/>
      <c r="G110" s="20"/>
      <c r="H110" s="9"/>
      <c r="I110" s="9"/>
      <c r="J110" s="20"/>
      <c r="K110" s="9"/>
      <c r="L110" s="9"/>
      <c r="M110" s="20"/>
      <c r="N110" s="9"/>
      <c r="O110" s="9"/>
    </row>
    <row r="111" spans="1:15" x14ac:dyDescent="0.15">
      <c r="A111" s="8"/>
      <c r="B111" s="9"/>
      <c r="C111" s="9"/>
      <c r="D111" s="9"/>
      <c r="E111" s="9"/>
      <c r="F111" s="9"/>
      <c r="G111" s="20"/>
      <c r="H111" s="9"/>
      <c r="I111" s="9"/>
      <c r="J111" s="20"/>
      <c r="K111" s="9"/>
      <c r="L111" s="9"/>
      <c r="M111" s="20"/>
      <c r="N111" s="9"/>
      <c r="O111" s="9"/>
    </row>
    <row r="112" spans="1:15" x14ac:dyDescent="0.15">
      <c r="A112" s="8"/>
      <c r="B112" s="9"/>
      <c r="C112" s="9"/>
      <c r="D112" s="9"/>
      <c r="E112" s="9"/>
      <c r="F112" s="9"/>
      <c r="G112" s="20"/>
      <c r="H112" s="9"/>
      <c r="I112" s="9"/>
      <c r="J112" s="20"/>
      <c r="K112" s="9"/>
      <c r="L112" s="9"/>
      <c r="M112" s="20"/>
      <c r="N112" s="9"/>
      <c r="O112" s="9"/>
    </row>
    <row r="113" spans="1:15" x14ac:dyDescent="0.15">
      <c r="A113" s="8"/>
      <c r="B113" s="9"/>
      <c r="C113" s="9"/>
      <c r="D113" s="9"/>
      <c r="E113" s="9"/>
      <c r="F113" s="9"/>
      <c r="G113" s="20"/>
      <c r="H113" s="9"/>
      <c r="I113" s="9"/>
      <c r="J113" s="20"/>
      <c r="K113" s="9"/>
      <c r="L113" s="9"/>
      <c r="M113" s="20"/>
      <c r="N113" s="9"/>
      <c r="O113" s="9"/>
    </row>
    <row r="114" spans="1:15" x14ac:dyDescent="0.15">
      <c r="A114" s="8"/>
      <c r="B114" s="9"/>
      <c r="C114" s="9"/>
      <c r="D114" s="9"/>
      <c r="E114" s="9"/>
      <c r="F114" s="9"/>
      <c r="G114" s="20"/>
      <c r="H114" s="9"/>
      <c r="I114" s="9"/>
      <c r="J114" s="20"/>
      <c r="K114" s="9"/>
      <c r="L114" s="9"/>
      <c r="M114" s="20"/>
      <c r="N114" s="9"/>
      <c r="O114" s="9"/>
    </row>
    <row r="115" spans="1:15" x14ac:dyDescent="0.15">
      <c r="A115" s="8"/>
      <c r="B115" s="9"/>
      <c r="C115" s="9"/>
      <c r="D115" s="9"/>
      <c r="E115" s="9"/>
      <c r="F115" s="9"/>
      <c r="G115" s="20"/>
      <c r="H115" s="9"/>
      <c r="I115" s="9"/>
      <c r="J115" s="20"/>
      <c r="K115" s="9"/>
      <c r="L115" s="9"/>
      <c r="M115" s="20"/>
      <c r="N115" s="9"/>
      <c r="O115" s="9"/>
    </row>
    <row r="116" spans="1:15" x14ac:dyDescent="0.15">
      <c r="A116" s="8"/>
      <c r="B116" s="9"/>
      <c r="C116" s="9"/>
      <c r="D116" s="9"/>
      <c r="E116" s="9"/>
      <c r="F116" s="9"/>
      <c r="G116" s="20"/>
      <c r="H116" s="9"/>
      <c r="I116" s="9"/>
      <c r="J116" s="20"/>
      <c r="K116" s="9"/>
      <c r="L116" s="9"/>
      <c r="M116" s="20"/>
      <c r="N116" s="9"/>
      <c r="O116" s="9"/>
    </row>
    <row r="117" spans="1:15" x14ac:dyDescent="0.15">
      <c r="A117" s="8"/>
      <c r="B117" s="9"/>
      <c r="C117" s="9"/>
      <c r="D117" s="9"/>
      <c r="E117" s="9"/>
      <c r="F117" s="9"/>
      <c r="G117" s="20"/>
      <c r="H117" s="9"/>
      <c r="I117" s="9"/>
      <c r="J117" s="20"/>
      <c r="K117" s="9"/>
      <c r="L117" s="9"/>
      <c r="M117" s="20"/>
      <c r="N117" s="9"/>
      <c r="O117" s="9"/>
    </row>
    <row r="118" spans="1:15" x14ac:dyDescent="0.15">
      <c r="A118" s="8"/>
      <c r="B118" s="9"/>
      <c r="C118" s="9"/>
      <c r="D118" s="9"/>
      <c r="E118" s="9"/>
      <c r="F118" s="9"/>
      <c r="G118" s="20"/>
      <c r="H118" s="9"/>
      <c r="I118" s="9"/>
      <c r="J118" s="20"/>
      <c r="K118" s="9"/>
      <c r="L118" s="9"/>
      <c r="M118" s="20"/>
      <c r="N118" s="9"/>
      <c r="O118" s="9"/>
    </row>
    <row r="119" spans="1:15" x14ac:dyDescent="0.15">
      <c r="A119" s="8"/>
      <c r="B119" s="9"/>
      <c r="C119" s="9"/>
      <c r="D119" s="9"/>
      <c r="E119" s="9"/>
      <c r="F119" s="9"/>
      <c r="G119" s="20"/>
      <c r="H119" s="9"/>
      <c r="I119" s="9"/>
      <c r="J119" s="20"/>
      <c r="K119" s="9"/>
      <c r="L119" s="9"/>
      <c r="M119" s="20"/>
      <c r="N119" s="9"/>
      <c r="O119" s="9"/>
    </row>
    <row r="120" spans="1:15" x14ac:dyDescent="0.15">
      <c r="A120" s="8"/>
      <c r="B120" s="9"/>
      <c r="C120" s="9"/>
      <c r="D120" s="9"/>
      <c r="E120" s="9"/>
      <c r="F120" s="9"/>
      <c r="G120" s="20"/>
      <c r="H120" s="9"/>
      <c r="I120" s="9"/>
      <c r="J120" s="20"/>
      <c r="K120" s="9"/>
      <c r="L120" s="9"/>
      <c r="M120" s="20"/>
      <c r="N120" s="9"/>
      <c r="O120" s="9"/>
    </row>
    <row r="121" spans="1:15" x14ac:dyDescent="0.15">
      <c r="A121" s="8"/>
      <c r="B121" s="9"/>
      <c r="C121" s="9"/>
      <c r="D121" s="9"/>
      <c r="E121" s="9"/>
      <c r="F121" s="9"/>
      <c r="G121" s="20"/>
      <c r="H121" s="9"/>
      <c r="I121" s="9"/>
      <c r="J121" s="20"/>
      <c r="K121" s="9"/>
      <c r="L121" s="9"/>
      <c r="M121" s="20"/>
      <c r="N121" s="9"/>
      <c r="O121" s="9"/>
    </row>
    <row r="122" spans="1:15" x14ac:dyDescent="0.15">
      <c r="A122" s="8"/>
      <c r="B122" s="9"/>
      <c r="C122" s="9"/>
      <c r="D122" s="9"/>
      <c r="E122" s="9"/>
      <c r="F122" s="9"/>
      <c r="G122" s="20"/>
      <c r="H122" s="9"/>
      <c r="I122" s="9"/>
      <c r="J122" s="20"/>
      <c r="K122" s="9"/>
      <c r="L122" s="9"/>
      <c r="M122" s="20"/>
      <c r="N122" s="9"/>
      <c r="O122" s="9"/>
    </row>
    <row r="123" spans="1:15" x14ac:dyDescent="0.15">
      <c r="A123" s="8"/>
      <c r="B123" s="9"/>
      <c r="C123" s="9"/>
      <c r="D123" s="9"/>
      <c r="E123" s="9"/>
      <c r="F123" s="9"/>
      <c r="G123" s="20"/>
      <c r="H123" s="9"/>
      <c r="I123" s="9"/>
      <c r="J123" s="20"/>
      <c r="K123" s="9"/>
      <c r="L123" s="9"/>
      <c r="M123" s="20"/>
      <c r="N123" s="9"/>
      <c r="O123" s="9"/>
    </row>
    <row r="124" spans="1:15" x14ac:dyDescent="0.15">
      <c r="A124" s="8"/>
      <c r="B124" s="9"/>
      <c r="C124" s="9"/>
      <c r="D124" s="9"/>
      <c r="E124" s="9"/>
      <c r="F124" s="9"/>
      <c r="G124" s="20"/>
      <c r="H124" s="9"/>
      <c r="I124" s="9"/>
      <c r="J124" s="20"/>
      <c r="K124" s="9"/>
      <c r="L124" s="9"/>
      <c r="M124" s="20"/>
      <c r="N124" s="9"/>
      <c r="O124" s="9"/>
    </row>
    <row r="125" spans="1:15" x14ac:dyDescent="0.15">
      <c r="A125" s="8"/>
      <c r="B125" s="9"/>
      <c r="C125" s="9"/>
      <c r="D125" s="9"/>
      <c r="E125" s="9"/>
      <c r="F125" s="9"/>
      <c r="G125" s="20"/>
      <c r="H125" s="9"/>
      <c r="I125" s="9"/>
      <c r="J125" s="20"/>
      <c r="K125" s="9"/>
      <c r="L125" s="9"/>
      <c r="M125" s="20"/>
      <c r="N125" s="9"/>
      <c r="O125" s="9"/>
    </row>
    <row r="126" spans="1:15" x14ac:dyDescent="0.15">
      <c r="A126" s="8"/>
      <c r="B126" s="9"/>
      <c r="C126" s="9"/>
      <c r="D126" s="9"/>
      <c r="E126" s="9"/>
      <c r="F126" s="9"/>
      <c r="G126" s="20"/>
      <c r="H126" s="9"/>
      <c r="I126" s="9"/>
      <c r="J126" s="20"/>
      <c r="K126" s="9"/>
      <c r="L126" s="9"/>
      <c r="M126" s="20"/>
      <c r="N126" s="9"/>
      <c r="O126" s="9"/>
    </row>
    <row r="127" spans="1:15" x14ac:dyDescent="0.15">
      <c r="A127" s="8"/>
      <c r="B127" s="9"/>
      <c r="C127" s="9"/>
      <c r="D127" s="9"/>
      <c r="E127" s="9"/>
      <c r="F127" s="9"/>
      <c r="G127" s="20"/>
      <c r="H127" s="9"/>
      <c r="I127" s="9"/>
      <c r="J127" s="20"/>
      <c r="K127" s="9"/>
      <c r="L127" s="9"/>
      <c r="M127" s="20"/>
      <c r="N127" s="9"/>
      <c r="O127" s="9"/>
    </row>
    <row r="128" spans="1:15" x14ac:dyDescent="0.15">
      <c r="A128" s="8"/>
      <c r="B128" s="9"/>
      <c r="C128" s="9"/>
      <c r="D128" s="9"/>
      <c r="E128" s="9"/>
      <c r="F128" s="9"/>
      <c r="G128" s="20"/>
      <c r="H128" s="9"/>
      <c r="I128" s="9"/>
      <c r="J128" s="20"/>
      <c r="K128" s="9"/>
      <c r="L128" s="9"/>
      <c r="M128" s="20"/>
      <c r="N128" s="9"/>
      <c r="O128" s="9"/>
    </row>
    <row r="129" spans="1:15" x14ac:dyDescent="0.15">
      <c r="A129" s="8"/>
      <c r="B129" s="9"/>
      <c r="C129" s="9"/>
      <c r="D129" s="9"/>
      <c r="E129" s="9"/>
      <c r="F129" s="9"/>
      <c r="G129" s="20"/>
      <c r="H129" s="9"/>
      <c r="I129" s="9"/>
      <c r="J129" s="20"/>
      <c r="K129" s="9"/>
      <c r="L129" s="9"/>
      <c r="M129" s="20"/>
      <c r="N129" s="9"/>
      <c r="O129" s="9"/>
    </row>
    <row r="130" spans="1:15" x14ac:dyDescent="0.15">
      <c r="A130" s="8"/>
      <c r="B130" s="9"/>
      <c r="C130" s="9"/>
      <c r="D130" s="9"/>
      <c r="E130" s="9"/>
      <c r="F130" s="9"/>
      <c r="G130" s="20"/>
      <c r="H130" s="9"/>
      <c r="I130" s="9"/>
      <c r="J130" s="20"/>
      <c r="K130" s="9"/>
      <c r="L130" s="9"/>
      <c r="M130" s="20"/>
      <c r="N130" s="9"/>
      <c r="O130" s="9"/>
    </row>
    <row r="131" spans="1:15" x14ac:dyDescent="0.15">
      <c r="A131" s="8"/>
      <c r="B131" s="9"/>
      <c r="C131" s="9"/>
      <c r="D131" s="9"/>
      <c r="E131" s="9"/>
      <c r="F131" s="9"/>
      <c r="G131" s="20"/>
      <c r="H131" s="9"/>
      <c r="I131" s="9"/>
      <c r="J131" s="20"/>
      <c r="K131" s="9"/>
      <c r="L131" s="9"/>
      <c r="M131" s="20"/>
      <c r="N131" s="9"/>
      <c r="O131" s="9"/>
    </row>
    <row r="132" spans="1:15" x14ac:dyDescent="0.15">
      <c r="A132" s="8"/>
      <c r="B132" s="9"/>
      <c r="C132" s="9"/>
      <c r="D132" s="9"/>
      <c r="E132" s="9"/>
      <c r="F132" s="9"/>
      <c r="G132" s="20"/>
      <c r="H132" s="9"/>
      <c r="I132" s="9"/>
      <c r="J132" s="20"/>
      <c r="K132" s="9"/>
      <c r="L132" s="9"/>
      <c r="M132" s="20"/>
      <c r="N132" s="9"/>
      <c r="O132" s="9"/>
    </row>
    <row r="133" spans="1:15" x14ac:dyDescent="0.15">
      <c r="A133" s="8"/>
      <c r="B133" s="9"/>
      <c r="C133" s="9"/>
      <c r="D133" s="9"/>
      <c r="E133" s="9"/>
      <c r="F133" s="9"/>
      <c r="G133" s="20"/>
      <c r="H133" s="9"/>
      <c r="I133" s="9"/>
      <c r="J133" s="20"/>
      <c r="K133" s="9"/>
      <c r="L133" s="9"/>
      <c r="M133" s="20"/>
      <c r="N133" s="9"/>
      <c r="O133" s="9"/>
    </row>
    <row r="134" spans="1:15" x14ac:dyDescent="0.15">
      <c r="A134" s="8"/>
      <c r="B134" s="9"/>
      <c r="C134" s="9"/>
      <c r="D134" s="9"/>
      <c r="E134" s="9"/>
      <c r="F134" s="9"/>
      <c r="G134" s="20"/>
      <c r="H134" s="9"/>
      <c r="I134" s="9"/>
      <c r="J134" s="20"/>
      <c r="K134" s="9"/>
      <c r="L134" s="9"/>
      <c r="M134" s="20"/>
      <c r="N134" s="9"/>
      <c r="O134" s="9"/>
    </row>
    <row r="135" spans="1:15" x14ac:dyDescent="0.15">
      <c r="A135" s="8"/>
      <c r="B135" s="9"/>
      <c r="C135" s="9"/>
      <c r="D135" s="9"/>
      <c r="E135" s="9"/>
      <c r="F135" s="9"/>
      <c r="G135" s="20"/>
      <c r="H135" s="9"/>
      <c r="I135" s="9"/>
      <c r="J135" s="20"/>
      <c r="K135" s="9"/>
      <c r="L135" s="9"/>
      <c r="M135" s="20"/>
      <c r="N135" s="9"/>
      <c r="O135" s="9"/>
    </row>
    <row r="136" spans="1:15" x14ac:dyDescent="0.15">
      <c r="A136" s="8"/>
      <c r="B136" s="9"/>
      <c r="C136" s="9"/>
      <c r="D136" s="9"/>
      <c r="E136" s="9"/>
      <c r="F136" s="9"/>
      <c r="G136" s="20"/>
      <c r="H136" s="9"/>
      <c r="I136" s="9"/>
      <c r="J136" s="20"/>
      <c r="K136" s="9"/>
      <c r="L136" s="9"/>
      <c r="M136" s="20"/>
      <c r="N136" s="9"/>
      <c r="O136" s="9"/>
    </row>
    <row r="137" spans="1:15" x14ac:dyDescent="0.15">
      <c r="A137" s="8"/>
      <c r="B137" s="9"/>
      <c r="C137" s="9"/>
      <c r="D137" s="9"/>
      <c r="E137" s="9"/>
      <c r="F137" s="9"/>
      <c r="G137" s="20"/>
      <c r="H137" s="9"/>
      <c r="I137" s="9"/>
      <c r="J137" s="20"/>
      <c r="K137" s="9"/>
      <c r="L137" s="9"/>
      <c r="M137" s="20"/>
      <c r="N137" s="9"/>
      <c r="O137" s="9"/>
    </row>
    <row r="138" spans="1:15" x14ac:dyDescent="0.15">
      <c r="A138" s="8"/>
      <c r="B138" s="9"/>
      <c r="C138" s="9"/>
      <c r="D138" s="9"/>
      <c r="E138" s="9"/>
      <c r="F138" s="9"/>
      <c r="G138" s="20"/>
      <c r="H138" s="9"/>
      <c r="I138" s="9"/>
      <c r="J138" s="20"/>
      <c r="K138" s="9"/>
      <c r="L138" s="9"/>
      <c r="M138" s="20"/>
      <c r="N138" s="9"/>
      <c r="O138" s="9"/>
    </row>
    <row r="139" spans="1:15" x14ac:dyDescent="0.15">
      <c r="A139" s="8"/>
      <c r="B139" s="9"/>
      <c r="C139" s="9"/>
      <c r="D139" s="9"/>
      <c r="E139" s="9"/>
      <c r="F139" s="9"/>
      <c r="G139" s="20"/>
      <c r="H139" s="9"/>
      <c r="I139" s="9"/>
      <c r="J139" s="20"/>
      <c r="K139" s="9"/>
      <c r="L139" s="9"/>
      <c r="M139" s="20"/>
      <c r="N139" s="9"/>
      <c r="O139" s="9"/>
    </row>
    <row r="140" spans="1:15" x14ac:dyDescent="0.15">
      <c r="A140" s="8"/>
      <c r="B140" s="9"/>
      <c r="C140" s="9"/>
      <c r="D140" s="9"/>
      <c r="E140" s="9"/>
      <c r="F140" s="9"/>
      <c r="G140" s="20"/>
      <c r="H140" s="9"/>
      <c r="I140" s="9"/>
      <c r="J140" s="20"/>
      <c r="K140" s="9"/>
      <c r="L140" s="9"/>
      <c r="M140" s="20"/>
      <c r="N140" s="9"/>
      <c r="O140" s="9"/>
    </row>
    <row r="141" spans="1:15" x14ac:dyDescent="0.15">
      <c r="A141" s="8"/>
      <c r="B141" s="9"/>
      <c r="C141" s="9"/>
      <c r="D141" s="9"/>
      <c r="E141" s="9"/>
      <c r="F141" s="9"/>
      <c r="G141" s="20"/>
      <c r="H141" s="9"/>
      <c r="I141" s="9"/>
      <c r="J141" s="20"/>
      <c r="K141" s="9"/>
      <c r="L141" s="9"/>
      <c r="M141" s="20"/>
      <c r="N141" s="9"/>
      <c r="O141" s="9"/>
    </row>
    <row r="142" spans="1:15" x14ac:dyDescent="0.15">
      <c r="A142" s="8"/>
      <c r="B142" s="9"/>
      <c r="C142" s="9"/>
      <c r="D142" s="9"/>
      <c r="E142" s="9"/>
      <c r="F142" s="9"/>
      <c r="G142" s="20"/>
      <c r="H142" s="9"/>
      <c r="I142" s="9"/>
      <c r="J142" s="20"/>
      <c r="K142" s="9"/>
      <c r="L142" s="9"/>
      <c r="M142" s="20"/>
      <c r="N142" s="9"/>
      <c r="O142" s="9"/>
    </row>
    <row r="143" spans="1:15" x14ac:dyDescent="0.15">
      <c r="A143" s="8"/>
      <c r="B143" s="9"/>
      <c r="C143" s="9"/>
      <c r="D143" s="9"/>
      <c r="E143" s="9"/>
      <c r="F143" s="9"/>
      <c r="G143" s="20"/>
      <c r="H143" s="9"/>
      <c r="I143" s="9"/>
      <c r="J143" s="20"/>
      <c r="K143" s="9"/>
      <c r="L143" s="9"/>
      <c r="M143" s="20"/>
      <c r="N143" s="9"/>
      <c r="O143" s="9"/>
    </row>
    <row r="144" spans="1:15" x14ac:dyDescent="0.15">
      <c r="A144" s="8"/>
      <c r="B144" s="9"/>
      <c r="C144" s="9"/>
      <c r="D144" s="9"/>
      <c r="E144" s="9"/>
      <c r="F144" s="9"/>
      <c r="G144" s="20"/>
      <c r="H144" s="9"/>
      <c r="I144" s="9"/>
      <c r="J144" s="20"/>
      <c r="K144" s="9"/>
      <c r="L144" s="9"/>
      <c r="M144" s="20"/>
      <c r="N144" s="9"/>
      <c r="O144" s="9"/>
    </row>
    <row r="145" spans="1:15" x14ac:dyDescent="0.15">
      <c r="A145" s="8"/>
      <c r="B145" s="9"/>
      <c r="C145" s="9"/>
      <c r="D145" s="9"/>
      <c r="E145" s="9"/>
      <c r="F145" s="9"/>
      <c r="G145" s="20"/>
      <c r="H145" s="9"/>
      <c r="I145" s="9"/>
      <c r="J145" s="20"/>
      <c r="K145" s="9"/>
      <c r="L145" s="9"/>
      <c r="M145" s="20"/>
      <c r="N145" s="9"/>
      <c r="O145" s="9"/>
    </row>
    <row r="146" spans="1:15" x14ac:dyDescent="0.15">
      <c r="A146" s="8"/>
      <c r="B146" s="9"/>
      <c r="C146" s="9"/>
      <c r="D146" s="9"/>
      <c r="E146" s="9"/>
      <c r="F146" s="9"/>
      <c r="G146" s="20"/>
      <c r="H146" s="9"/>
      <c r="I146" s="9"/>
      <c r="J146" s="20"/>
      <c r="K146" s="9"/>
      <c r="L146" s="9"/>
      <c r="M146" s="20"/>
      <c r="N146" s="9"/>
      <c r="O146" s="9"/>
    </row>
    <row r="147" spans="1:15" x14ac:dyDescent="0.15">
      <c r="A147" s="8"/>
      <c r="B147" s="9"/>
      <c r="C147" s="9"/>
      <c r="D147" s="9"/>
      <c r="E147" s="9"/>
      <c r="F147" s="9"/>
      <c r="G147" s="20"/>
      <c r="H147" s="9"/>
      <c r="I147" s="9"/>
      <c r="J147" s="20"/>
      <c r="K147" s="9"/>
      <c r="L147" s="9"/>
      <c r="M147" s="20"/>
      <c r="N147" s="9"/>
      <c r="O147" s="9"/>
    </row>
    <row r="148" spans="1:15" x14ac:dyDescent="0.15">
      <c r="A148" s="8"/>
      <c r="B148" s="9"/>
      <c r="C148" s="9"/>
      <c r="D148" s="9"/>
      <c r="E148" s="9"/>
      <c r="F148" s="9"/>
      <c r="G148" s="20"/>
      <c r="H148" s="9"/>
      <c r="I148" s="9"/>
      <c r="J148" s="20"/>
      <c r="K148" s="9"/>
      <c r="L148" s="9"/>
      <c r="M148" s="20"/>
      <c r="N148" s="9"/>
      <c r="O148" s="9"/>
    </row>
    <row r="149" spans="1:15" x14ac:dyDescent="0.15">
      <c r="A149" s="8"/>
      <c r="B149" s="9"/>
      <c r="C149" s="9"/>
      <c r="D149" s="9"/>
      <c r="E149" s="9"/>
      <c r="F149" s="9"/>
      <c r="G149" s="20"/>
      <c r="H149" s="9"/>
      <c r="I149" s="9"/>
      <c r="J149" s="20"/>
      <c r="K149" s="9"/>
      <c r="L149" s="9"/>
      <c r="M149" s="20"/>
      <c r="N149" s="9"/>
      <c r="O149" s="9"/>
    </row>
    <row r="150" spans="1:15" x14ac:dyDescent="0.15">
      <c r="A150" s="8"/>
      <c r="B150" s="9"/>
      <c r="C150" s="9"/>
      <c r="D150" s="9"/>
      <c r="E150" s="9"/>
      <c r="F150" s="9"/>
      <c r="G150" s="20"/>
      <c r="H150" s="9"/>
      <c r="I150" s="9"/>
      <c r="J150" s="20"/>
      <c r="K150" s="9"/>
      <c r="L150" s="9"/>
      <c r="M150" s="20"/>
      <c r="N150" s="9"/>
      <c r="O150" s="9"/>
    </row>
    <row r="151" spans="1:15" x14ac:dyDescent="0.15">
      <c r="A151" s="8"/>
      <c r="B151" s="9"/>
      <c r="C151" s="9"/>
      <c r="D151" s="9"/>
      <c r="E151" s="9"/>
      <c r="F151" s="9"/>
      <c r="G151" s="20"/>
      <c r="H151" s="9"/>
      <c r="I151" s="9"/>
      <c r="J151" s="20"/>
      <c r="K151" s="9"/>
      <c r="L151" s="9"/>
      <c r="M151" s="20"/>
      <c r="N151" s="9"/>
      <c r="O151" s="9"/>
    </row>
    <row r="152" spans="1:15" x14ac:dyDescent="0.15">
      <c r="A152" s="8"/>
      <c r="B152" s="9"/>
      <c r="C152" s="9"/>
      <c r="D152" s="9"/>
      <c r="E152" s="9"/>
      <c r="F152" s="9"/>
      <c r="G152" s="20"/>
      <c r="H152" s="9"/>
      <c r="I152" s="9"/>
      <c r="J152" s="20"/>
      <c r="K152" s="9"/>
      <c r="L152" s="9"/>
      <c r="M152" s="20"/>
      <c r="N152" s="9"/>
      <c r="O152" s="9"/>
    </row>
    <row r="153" spans="1:15" x14ac:dyDescent="0.15">
      <c r="A153" s="8"/>
      <c r="B153" s="9"/>
      <c r="C153" s="9"/>
      <c r="D153" s="9"/>
      <c r="E153" s="9"/>
      <c r="F153" s="9"/>
      <c r="G153" s="20"/>
      <c r="H153" s="9"/>
      <c r="I153" s="9"/>
      <c r="J153" s="20"/>
      <c r="K153" s="9"/>
      <c r="L153" s="9"/>
      <c r="M153" s="20"/>
      <c r="N153" s="9"/>
      <c r="O153" s="9"/>
    </row>
    <row r="154" spans="1:15" x14ac:dyDescent="0.15">
      <c r="A154" s="8"/>
      <c r="B154" s="9"/>
      <c r="C154" s="9"/>
      <c r="D154" s="9"/>
      <c r="E154" s="9"/>
      <c r="F154" s="9"/>
      <c r="G154" s="20"/>
      <c r="H154" s="9"/>
      <c r="I154" s="9"/>
      <c r="J154" s="20"/>
      <c r="K154" s="9"/>
      <c r="L154" s="9"/>
      <c r="M154" s="20"/>
      <c r="N154" s="9"/>
      <c r="O154" s="9"/>
    </row>
    <row r="155" spans="1:15" x14ac:dyDescent="0.15">
      <c r="A155" s="8"/>
      <c r="B155" s="9"/>
      <c r="C155" s="9"/>
      <c r="D155" s="9"/>
      <c r="E155" s="9"/>
      <c r="F155" s="9"/>
      <c r="G155" s="20"/>
      <c r="H155" s="9"/>
      <c r="I155" s="9"/>
      <c r="J155" s="20"/>
      <c r="K155" s="9"/>
      <c r="L155" s="9"/>
      <c r="M155" s="20"/>
      <c r="N155" s="9"/>
      <c r="O155" s="9"/>
    </row>
    <row r="156" spans="1:15" x14ac:dyDescent="0.15">
      <c r="A156" s="8"/>
      <c r="B156" s="9"/>
      <c r="C156" s="9"/>
      <c r="D156" s="9"/>
      <c r="E156" s="9"/>
      <c r="F156" s="9"/>
      <c r="G156" s="20"/>
      <c r="H156" s="9"/>
      <c r="I156" s="9"/>
      <c r="J156" s="20"/>
      <c r="K156" s="9"/>
      <c r="L156" s="9"/>
      <c r="M156" s="20"/>
      <c r="N156" s="9"/>
      <c r="O156" s="9"/>
    </row>
    <row r="157" spans="1:15" x14ac:dyDescent="0.15">
      <c r="A157" s="8"/>
      <c r="B157" s="9"/>
      <c r="C157" s="9"/>
      <c r="D157" s="9"/>
      <c r="E157" s="9"/>
      <c r="F157" s="9"/>
      <c r="G157" s="20"/>
      <c r="H157" s="9"/>
      <c r="I157" s="9"/>
      <c r="J157" s="20"/>
      <c r="K157" s="9"/>
      <c r="L157" s="9"/>
      <c r="M157" s="20"/>
      <c r="N157" s="9"/>
      <c r="O157" s="9"/>
    </row>
    <row r="158" spans="1:15" x14ac:dyDescent="0.15">
      <c r="A158" s="8"/>
      <c r="B158" s="9"/>
      <c r="C158" s="9"/>
      <c r="D158" s="9"/>
      <c r="E158" s="9"/>
      <c r="F158" s="9"/>
      <c r="G158" s="20"/>
      <c r="H158" s="9"/>
      <c r="I158" s="9"/>
      <c r="J158" s="20"/>
      <c r="K158" s="9"/>
      <c r="L158" s="9"/>
      <c r="M158" s="20"/>
      <c r="N158" s="9"/>
      <c r="O158" s="9"/>
    </row>
    <row r="159" spans="1:15" x14ac:dyDescent="0.15">
      <c r="A159" s="8"/>
      <c r="B159" s="9"/>
      <c r="C159" s="9"/>
      <c r="D159" s="9"/>
      <c r="E159" s="9"/>
      <c r="F159" s="9"/>
      <c r="G159" s="20"/>
      <c r="H159" s="9"/>
      <c r="I159" s="9"/>
      <c r="J159" s="20"/>
      <c r="K159" s="9"/>
      <c r="L159" s="9"/>
      <c r="M159" s="20"/>
      <c r="N159" s="9"/>
      <c r="O159" s="9"/>
    </row>
    <row r="160" spans="1:15" x14ac:dyDescent="0.15">
      <c r="A160" s="8"/>
      <c r="B160" s="9"/>
      <c r="C160" s="9"/>
      <c r="D160" s="9"/>
      <c r="E160" s="9"/>
      <c r="F160" s="9"/>
      <c r="G160" s="20"/>
      <c r="H160" s="9"/>
      <c r="I160" s="9"/>
      <c r="J160" s="20"/>
      <c r="K160" s="9"/>
      <c r="L160" s="9"/>
      <c r="M160" s="20"/>
      <c r="N160" s="9"/>
      <c r="O160" s="9"/>
    </row>
    <row r="161" spans="1:15" x14ac:dyDescent="0.15">
      <c r="A161" s="8"/>
      <c r="B161" s="9"/>
      <c r="C161" s="9"/>
      <c r="D161" s="9"/>
      <c r="E161" s="9"/>
      <c r="F161" s="9"/>
      <c r="G161" s="20"/>
      <c r="H161" s="9"/>
      <c r="I161" s="9"/>
      <c r="J161" s="20"/>
      <c r="K161" s="9"/>
      <c r="L161" s="9"/>
      <c r="M161" s="20"/>
      <c r="N161" s="9"/>
      <c r="O161" s="9"/>
    </row>
    <row r="162" spans="1:15" x14ac:dyDescent="0.15">
      <c r="A162" s="8"/>
      <c r="B162" s="9"/>
      <c r="C162" s="9"/>
      <c r="D162" s="9"/>
      <c r="E162" s="9"/>
      <c r="F162" s="9"/>
      <c r="G162" s="20"/>
      <c r="H162" s="9"/>
      <c r="I162" s="9"/>
      <c r="J162" s="20"/>
      <c r="K162" s="9"/>
      <c r="L162" s="9"/>
      <c r="M162" s="20"/>
      <c r="N162" s="9"/>
      <c r="O162" s="9"/>
    </row>
    <row r="163" spans="1:15" x14ac:dyDescent="0.15">
      <c r="A163" s="8"/>
      <c r="B163" s="9"/>
      <c r="C163" s="9"/>
      <c r="D163" s="9"/>
      <c r="E163" s="9"/>
      <c r="F163" s="9"/>
      <c r="G163" s="20"/>
      <c r="H163" s="9"/>
      <c r="I163" s="9"/>
      <c r="J163" s="20"/>
      <c r="K163" s="9"/>
      <c r="L163" s="9"/>
      <c r="M163" s="20"/>
      <c r="N163" s="9"/>
      <c r="O163" s="9"/>
    </row>
    <row r="164" spans="1:15" x14ac:dyDescent="0.15">
      <c r="A164" s="8"/>
      <c r="B164" s="9"/>
      <c r="C164" s="9"/>
      <c r="D164" s="9"/>
      <c r="E164" s="9"/>
      <c r="F164" s="9"/>
      <c r="G164" s="20"/>
      <c r="H164" s="9"/>
      <c r="I164" s="9"/>
      <c r="J164" s="20"/>
      <c r="K164" s="9"/>
      <c r="L164" s="9"/>
      <c r="M164" s="20"/>
      <c r="N164" s="9"/>
      <c r="O164" s="9"/>
    </row>
    <row r="165" spans="1:15" x14ac:dyDescent="0.15">
      <c r="A165" s="8"/>
      <c r="B165" s="9"/>
      <c r="C165" s="9"/>
      <c r="D165" s="9"/>
      <c r="E165" s="9"/>
      <c r="F165" s="9"/>
      <c r="G165" s="20"/>
      <c r="H165" s="9"/>
      <c r="I165" s="9"/>
      <c r="J165" s="20"/>
      <c r="K165" s="9"/>
      <c r="L165" s="9"/>
      <c r="M165" s="20"/>
      <c r="N165" s="9"/>
      <c r="O165" s="9"/>
    </row>
    <row r="166" spans="1:15" x14ac:dyDescent="0.15">
      <c r="A166" s="8"/>
      <c r="B166" s="9"/>
      <c r="C166" s="9"/>
      <c r="D166" s="9"/>
      <c r="E166" s="9"/>
      <c r="F166" s="9"/>
      <c r="G166" s="20"/>
      <c r="H166" s="9"/>
      <c r="I166" s="9"/>
      <c r="J166" s="20"/>
      <c r="K166" s="9"/>
      <c r="L166" s="9"/>
      <c r="M166" s="20"/>
      <c r="N166" s="9"/>
      <c r="O166" s="9"/>
    </row>
    <row r="167" spans="1:15" x14ac:dyDescent="0.15">
      <c r="A167" s="8"/>
      <c r="B167" s="9"/>
      <c r="C167" s="9"/>
      <c r="D167" s="9"/>
      <c r="E167" s="9"/>
      <c r="F167" s="9"/>
      <c r="G167" s="20"/>
      <c r="H167" s="9"/>
      <c r="I167" s="9"/>
      <c r="J167" s="20"/>
      <c r="K167" s="9"/>
      <c r="L167" s="9"/>
      <c r="M167" s="20"/>
      <c r="N167" s="9"/>
      <c r="O167" s="9"/>
    </row>
    <row r="168" spans="1:15" x14ac:dyDescent="0.15">
      <c r="A168" s="8"/>
      <c r="B168" s="9"/>
      <c r="C168" s="9"/>
      <c r="D168" s="9"/>
      <c r="E168" s="9"/>
      <c r="F168" s="9"/>
      <c r="G168" s="20"/>
      <c r="H168" s="9"/>
      <c r="I168" s="9"/>
      <c r="J168" s="20"/>
      <c r="K168" s="9"/>
      <c r="L168" s="9"/>
      <c r="M168" s="20"/>
      <c r="N168" s="9"/>
      <c r="O168" s="9"/>
    </row>
    <row r="169" spans="1:15" x14ac:dyDescent="0.15">
      <c r="A169" s="8"/>
      <c r="B169" s="9"/>
      <c r="C169" s="9"/>
      <c r="D169" s="9"/>
      <c r="E169" s="9"/>
      <c r="F169" s="9"/>
      <c r="G169" s="20"/>
      <c r="H169" s="9"/>
      <c r="I169" s="9"/>
      <c r="J169" s="20"/>
      <c r="K169" s="9"/>
      <c r="L169" s="9"/>
      <c r="M169" s="20"/>
      <c r="N169" s="9"/>
      <c r="O169" s="9"/>
    </row>
    <row r="170" spans="1:15" x14ac:dyDescent="0.15">
      <c r="A170" s="8"/>
      <c r="B170" s="9"/>
      <c r="C170" s="9"/>
      <c r="D170" s="9"/>
      <c r="E170" s="9"/>
      <c r="F170" s="9"/>
      <c r="G170" s="20"/>
      <c r="H170" s="9"/>
      <c r="I170" s="9"/>
      <c r="J170" s="20"/>
      <c r="K170" s="9"/>
      <c r="L170" s="9"/>
      <c r="M170" s="20"/>
      <c r="N170" s="9"/>
      <c r="O170" s="9"/>
    </row>
    <row r="171" spans="1:15" x14ac:dyDescent="0.15">
      <c r="A171" s="8"/>
      <c r="B171" s="9"/>
      <c r="C171" s="9"/>
      <c r="D171" s="9"/>
      <c r="E171" s="9"/>
      <c r="F171" s="9"/>
      <c r="G171" s="20"/>
      <c r="H171" s="9"/>
      <c r="I171" s="9"/>
      <c r="J171" s="20"/>
      <c r="K171" s="9"/>
      <c r="L171" s="9"/>
      <c r="M171" s="20"/>
      <c r="N171" s="9"/>
      <c r="O171" s="9"/>
    </row>
    <row r="172" spans="1:15" x14ac:dyDescent="0.15">
      <c r="A172" s="8"/>
      <c r="B172" s="9"/>
      <c r="C172" s="9"/>
      <c r="D172" s="9"/>
      <c r="E172" s="9"/>
      <c r="F172" s="9"/>
      <c r="G172" s="20"/>
      <c r="H172" s="9"/>
      <c r="I172" s="9"/>
      <c r="J172" s="20"/>
      <c r="K172" s="9"/>
      <c r="L172" s="9"/>
      <c r="M172" s="20"/>
      <c r="N172" s="9"/>
      <c r="O172" s="9"/>
    </row>
    <row r="173" spans="1:15" x14ac:dyDescent="0.15">
      <c r="A173" s="8"/>
      <c r="B173" s="9"/>
      <c r="C173" s="9"/>
      <c r="D173" s="9"/>
      <c r="E173" s="9"/>
      <c r="F173" s="9"/>
      <c r="G173" s="20"/>
      <c r="H173" s="9"/>
      <c r="I173" s="9"/>
      <c r="J173" s="20"/>
      <c r="K173" s="9"/>
      <c r="L173" s="9"/>
      <c r="M173" s="20"/>
      <c r="N173" s="9"/>
      <c r="O173" s="9"/>
    </row>
    <row r="174" spans="1:15" x14ac:dyDescent="0.15">
      <c r="A174" s="8"/>
      <c r="B174" s="9"/>
      <c r="C174" s="9"/>
      <c r="D174" s="9"/>
      <c r="E174" s="9"/>
      <c r="F174" s="9"/>
      <c r="G174" s="20"/>
      <c r="H174" s="9"/>
      <c r="I174" s="9"/>
      <c r="J174" s="20"/>
      <c r="K174" s="9"/>
      <c r="L174" s="9"/>
      <c r="M174" s="20"/>
      <c r="N174" s="9"/>
      <c r="O174" s="9"/>
    </row>
    <row r="175" spans="1:15" x14ac:dyDescent="0.15">
      <c r="A175" s="8"/>
      <c r="B175" s="9"/>
      <c r="C175" s="9"/>
      <c r="D175" s="9"/>
      <c r="E175" s="9"/>
      <c r="F175" s="9"/>
      <c r="G175" s="20"/>
      <c r="H175" s="9"/>
      <c r="I175" s="9"/>
      <c r="J175" s="20"/>
      <c r="K175" s="9"/>
      <c r="L175" s="9"/>
      <c r="M175" s="20"/>
      <c r="N175" s="9"/>
      <c r="O175" s="9"/>
    </row>
    <row r="176" spans="1:15" x14ac:dyDescent="0.15">
      <c r="A176" s="8"/>
      <c r="B176" s="9"/>
      <c r="C176" s="9"/>
      <c r="D176" s="9"/>
      <c r="E176" s="9"/>
      <c r="F176" s="9"/>
      <c r="G176" s="20"/>
      <c r="H176" s="9"/>
      <c r="I176" s="9"/>
      <c r="J176" s="20"/>
      <c r="K176" s="9"/>
      <c r="L176" s="9"/>
      <c r="M176" s="20"/>
      <c r="N176" s="9"/>
      <c r="O176" s="9"/>
    </row>
    <row r="177" spans="1:15" x14ac:dyDescent="0.15">
      <c r="A177" s="8"/>
      <c r="B177" s="9"/>
      <c r="C177" s="9"/>
      <c r="D177" s="9"/>
      <c r="E177" s="9"/>
      <c r="F177" s="9"/>
      <c r="G177" s="20"/>
      <c r="H177" s="9"/>
      <c r="I177" s="9"/>
      <c r="J177" s="20"/>
      <c r="K177" s="9"/>
      <c r="L177" s="9"/>
      <c r="M177" s="20"/>
      <c r="N177" s="9"/>
      <c r="O177" s="9"/>
    </row>
    <row r="178" spans="1:15" x14ac:dyDescent="0.15">
      <c r="A178" s="8"/>
      <c r="B178" s="9"/>
      <c r="C178" s="9"/>
      <c r="D178" s="9"/>
      <c r="E178" s="9"/>
      <c r="F178" s="9"/>
      <c r="G178" s="20"/>
      <c r="H178" s="9"/>
      <c r="I178" s="9"/>
      <c r="J178" s="20"/>
      <c r="K178" s="9"/>
      <c r="L178" s="9"/>
      <c r="M178" s="20"/>
      <c r="N178" s="9"/>
      <c r="O178" s="9"/>
    </row>
    <row r="179" spans="1:15" x14ac:dyDescent="0.15">
      <c r="A179" s="8"/>
      <c r="B179" s="9"/>
      <c r="C179" s="9"/>
      <c r="D179" s="9"/>
      <c r="E179" s="9"/>
      <c r="F179" s="9"/>
      <c r="G179" s="20"/>
      <c r="H179" s="9"/>
      <c r="I179" s="9"/>
      <c r="J179" s="20"/>
      <c r="K179" s="9"/>
      <c r="L179" s="9"/>
      <c r="M179" s="20"/>
      <c r="N179" s="9"/>
      <c r="O179" s="9"/>
    </row>
    <row r="180" spans="1:15" x14ac:dyDescent="0.15">
      <c r="A180" s="8"/>
      <c r="B180" s="9"/>
      <c r="C180" s="9"/>
      <c r="D180" s="9"/>
      <c r="E180" s="9"/>
      <c r="F180" s="9"/>
      <c r="G180" s="20"/>
      <c r="H180" s="9"/>
      <c r="I180" s="9"/>
      <c r="J180" s="20"/>
      <c r="K180" s="9"/>
      <c r="L180" s="9"/>
      <c r="M180" s="20"/>
      <c r="N180" s="9"/>
      <c r="O180" s="9"/>
    </row>
    <row r="181" spans="1:15" x14ac:dyDescent="0.15">
      <c r="A181" s="8"/>
      <c r="B181" s="9"/>
      <c r="C181" s="9"/>
      <c r="D181" s="9"/>
      <c r="E181" s="9"/>
      <c r="F181" s="9"/>
      <c r="G181" s="20"/>
      <c r="H181" s="9"/>
      <c r="I181" s="9"/>
      <c r="J181" s="20"/>
      <c r="K181" s="9"/>
      <c r="L181" s="9"/>
      <c r="M181" s="20"/>
      <c r="N181" s="9"/>
      <c r="O181" s="9"/>
    </row>
    <row r="182" spans="1:15" x14ac:dyDescent="0.15">
      <c r="A182" s="8"/>
      <c r="B182" s="9"/>
      <c r="C182" s="9"/>
      <c r="D182" s="9"/>
      <c r="E182" s="9"/>
      <c r="F182" s="9"/>
      <c r="G182" s="20"/>
      <c r="H182" s="9"/>
      <c r="I182" s="9"/>
      <c r="J182" s="20"/>
      <c r="K182" s="9"/>
      <c r="L182" s="9"/>
      <c r="M182" s="20"/>
      <c r="N182" s="9"/>
      <c r="O182" s="9"/>
    </row>
    <row r="183" spans="1:15" x14ac:dyDescent="0.15">
      <c r="A183" s="8"/>
      <c r="B183" s="9"/>
      <c r="C183" s="9"/>
      <c r="D183" s="9"/>
      <c r="E183" s="9"/>
      <c r="F183" s="9"/>
      <c r="G183" s="20"/>
      <c r="H183" s="9"/>
      <c r="I183" s="9"/>
      <c r="J183" s="20"/>
      <c r="K183" s="9"/>
      <c r="L183" s="9"/>
      <c r="M183" s="20"/>
      <c r="N183" s="9"/>
      <c r="O183" s="9"/>
    </row>
    <row r="184" spans="1:15" x14ac:dyDescent="0.15">
      <c r="A184" s="8"/>
      <c r="B184" s="9"/>
      <c r="C184" s="9"/>
      <c r="D184" s="9"/>
      <c r="E184" s="9"/>
      <c r="F184" s="9"/>
      <c r="G184" s="20"/>
      <c r="H184" s="9"/>
      <c r="I184" s="9"/>
      <c r="J184" s="20"/>
      <c r="K184" s="9"/>
      <c r="L184" s="9"/>
      <c r="M184" s="20"/>
      <c r="N184" s="9"/>
      <c r="O184" s="9"/>
    </row>
    <row r="185" spans="1:15" x14ac:dyDescent="0.15">
      <c r="A185" s="8"/>
      <c r="B185" s="9"/>
      <c r="C185" s="9"/>
      <c r="D185" s="9"/>
      <c r="E185" s="9"/>
      <c r="F185" s="9"/>
      <c r="G185" s="20"/>
      <c r="H185" s="9"/>
      <c r="I185" s="9"/>
      <c r="J185" s="20"/>
      <c r="K185" s="9"/>
      <c r="L185" s="9"/>
      <c r="M185" s="20"/>
      <c r="N185" s="9"/>
      <c r="O185" s="9"/>
    </row>
    <row r="186" spans="1:15" x14ac:dyDescent="0.15">
      <c r="A186" s="8"/>
      <c r="B186" s="9"/>
      <c r="C186" s="9"/>
      <c r="D186" s="9"/>
      <c r="E186" s="9"/>
      <c r="F186" s="9"/>
      <c r="G186" s="20"/>
      <c r="H186" s="9"/>
      <c r="I186" s="9"/>
      <c r="J186" s="20"/>
      <c r="K186" s="9"/>
      <c r="L186" s="9"/>
      <c r="M186" s="20"/>
      <c r="N186" s="9"/>
      <c r="O186" s="9"/>
    </row>
    <row r="187" spans="1:15" x14ac:dyDescent="0.15">
      <c r="A187" s="8"/>
      <c r="B187" s="9"/>
      <c r="C187" s="9"/>
      <c r="D187" s="9"/>
      <c r="E187" s="9"/>
      <c r="F187" s="9"/>
      <c r="G187" s="20"/>
      <c r="H187" s="9"/>
      <c r="I187" s="9"/>
      <c r="J187" s="20"/>
      <c r="K187" s="9"/>
      <c r="L187" s="9"/>
      <c r="M187" s="20"/>
      <c r="N187" s="9"/>
      <c r="O187" s="9"/>
    </row>
    <row r="188" spans="1:15" x14ac:dyDescent="0.15">
      <c r="A188" s="8"/>
      <c r="B188" s="9"/>
      <c r="C188" s="9"/>
      <c r="D188" s="9"/>
      <c r="E188" s="9"/>
      <c r="F188" s="9"/>
      <c r="G188" s="20"/>
      <c r="H188" s="9"/>
      <c r="I188" s="9"/>
      <c r="J188" s="20"/>
      <c r="K188" s="9"/>
      <c r="L188" s="9"/>
      <c r="M188" s="20"/>
      <c r="N188" s="9"/>
      <c r="O188" s="9"/>
    </row>
    <row r="189" spans="1:15" x14ac:dyDescent="0.15">
      <c r="A189" s="8"/>
      <c r="B189" s="9"/>
      <c r="C189" s="9"/>
      <c r="D189" s="9"/>
      <c r="E189" s="9"/>
      <c r="F189" s="9"/>
      <c r="G189" s="20"/>
      <c r="H189" s="9"/>
      <c r="I189" s="9"/>
      <c r="J189" s="20"/>
      <c r="K189" s="9"/>
      <c r="L189" s="9"/>
      <c r="M189" s="20"/>
      <c r="N189" s="9"/>
      <c r="O189" s="9"/>
    </row>
    <row r="190" spans="1:15" x14ac:dyDescent="0.15">
      <c r="A190" s="8"/>
      <c r="B190" s="9"/>
      <c r="C190" s="9"/>
      <c r="D190" s="9"/>
      <c r="E190" s="9"/>
      <c r="F190" s="9"/>
      <c r="G190" s="20"/>
      <c r="H190" s="9"/>
      <c r="I190" s="9"/>
      <c r="J190" s="20"/>
      <c r="K190" s="9"/>
      <c r="L190" s="9"/>
      <c r="M190" s="20"/>
      <c r="N190" s="9"/>
      <c r="O190" s="9"/>
    </row>
    <row r="191" spans="1:15" x14ac:dyDescent="0.15">
      <c r="A191" s="8"/>
      <c r="B191" s="9"/>
      <c r="C191" s="9"/>
      <c r="D191" s="9"/>
      <c r="E191" s="9"/>
      <c r="F191" s="9"/>
      <c r="G191" s="20"/>
      <c r="H191" s="9"/>
      <c r="I191" s="9"/>
      <c r="J191" s="20"/>
      <c r="K191" s="9"/>
      <c r="L191" s="9"/>
      <c r="M191" s="20"/>
      <c r="N191" s="9"/>
      <c r="O191" s="9"/>
    </row>
    <row r="192" spans="1:15" x14ac:dyDescent="0.15">
      <c r="A192" s="8"/>
      <c r="B192" s="9"/>
      <c r="C192" s="9"/>
      <c r="D192" s="9"/>
      <c r="E192" s="9"/>
      <c r="F192" s="9"/>
      <c r="G192" s="20"/>
      <c r="H192" s="9"/>
      <c r="I192" s="9"/>
      <c r="J192" s="20"/>
      <c r="K192" s="9"/>
      <c r="L192" s="9"/>
      <c r="M192" s="20"/>
      <c r="N192" s="9"/>
      <c r="O192" s="9"/>
    </row>
    <row r="193" spans="1:15" x14ac:dyDescent="0.15">
      <c r="A193" s="8"/>
      <c r="B193" s="9"/>
      <c r="C193" s="9"/>
      <c r="D193" s="9"/>
      <c r="E193" s="9"/>
      <c r="F193" s="9"/>
      <c r="G193" s="20"/>
      <c r="H193" s="9"/>
      <c r="I193" s="9"/>
      <c r="J193" s="20"/>
      <c r="K193" s="9"/>
      <c r="L193" s="9"/>
      <c r="M193" s="20"/>
      <c r="N193" s="9"/>
      <c r="O193" s="9"/>
    </row>
    <row r="194" spans="1:15" x14ac:dyDescent="0.15">
      <c r="A194" s="8"/>
      <c r="B194" s="9"/>
      <c r="C194" s="9"/>
      <c r="D194" s="9"/>
      <c r="E194" s="9"/>
      <c r="F194" s="9"/>
      <c r="G194" s="20"/>
      <c r="H194" s="9"/>
      <c r="I194" s="9"/>
      <c r="J194" s="20"/>
      <c r="K194" s="9"/>
      <c r="L194" s="9"/>
      <c r="M194" s="20"/>
      <c r="N194" s="9"/>
      <c r="O194" s="9"/>
    </row>
    <row r="195" spans="1:15" x14ac:dyDescent="0.15">
      <c r="A195" s="8"/>
      <c r="B195" s="9"/>
      <c r="C195" s="9"/>
      <c r="D195" s="9"/>
      <c r="E195" s="9"/>
      <c r="F195" s="9"/>
      <c r="G195" s="20"/>
      <c r="H195" s="9"/>
      <c r="I195" s="9"/>
      <c r="J195" s="20"/>
      <c r="K195" s="9"/>
      <c r="L195" s="9"/>
      <c r="M195" s="20"/>
      <c r="N195" s="9"/>
      <c r="O195" s="9"/>
    </row>
    <row r="196" spans="1:15" x14ac:dyDescent="0.15">
      <c r="A196" s="8"/>
      <c r="B196" s="9"/>
      <c r="C196" s="9"/>
      <c r="D196" s="9"/>
      <c r="E196" s="9"/>
      <c r="F196" s="9"/>
      <c r="G196" s="20"/>
      <c r="H196" s="9"/>
      <c r="I196" s="9"/>
      <c r="J196" s="20"/>
      <c r="K196" s="9"/>
      <c r="L196" s="9"/>
      <c r="M196" s="20"/>
      <c r="N196" s="9"/>
      <c r="O196" s="9"/>
    </row>
    <row r="197" spans="1:15" x14ac:dyDescent="0.15">
      <c r="A197" s="8"/>
      <c r="B197" s="9"/>
      <c r="C197" s="9"/>
      <c r="D197" s="9"/>
      <c r="E197" s="9"/>
      <c r="F197" s="9"/>
      <c r="G197" s="20"/>
      <c r="H197" s="9"/>
      <c r="I197" s="9"/>
      <c r="J197" s="20"/>
      <c r="K197" s="9"/>
      <c r="L197" s="9"/>
      <c r="M197" s="20"/>
      <c r="N197" s="9"/>
      <c r="O197" s="9"/>
    </row>
    <row r="198" spans="1:15" x14ac:dyDescent="0.15">
      <c r="A198" s="8"/>
      <c r="B198" s="9"/>
      <c r="C198" s="9"/>
      <c r="D198" s="9"/>
      <c r="E198" s="9"/>
      <c r="F198" s="9"/>
      <c r="G198" s="20"/>
      <c r="H198" s="9"/>
      <c r="I198" s="9"/>
      <c r="J198" s="20"/>
      <c r="K198" s="9"/>
      <c r="L198" s="9"/>
      <c r="M198" s="20"/>
      <c r="N198" s="9"/>
      <c r="O198" s="9"/>
    </row>
    <row r="199" spans="1:15" x14ac:dyDescent="0.15">
      <c r="A199" s="8"/>
      <c r="B199" s="9"/>
      <c r="C199" s="9"/>
      <c r="D199" s="9"/>
      <c r="E199" s="9"/>
      <c r="F199" s="9"/>
      <c r="G199" s="20"/>
      <c r="H199" s="9"/>
      <c r="I199" s="9"/>
      <c r="J199" s="20"/>
      <c r="K199" s="9"/>
      <c r="L199" s="9"/>
      <c r="M199" s="20"/>
      <c r="N199" s="9"/>
      <c r="O199" s="9"/>
    </row>
    <row r="200" spans="1:15" x14ac:dyDescent="0.15">
      <c r="A200" s="8"/>
      <c r="B200" s="9"/>
      <c r="C200" s="9"/>
      <c r="D200" s="9"/>
      <c r="E200" s="9"/>
      <c r="F200" s="9"/>
      <c r="G200" s="20"/>
      <c r="H200" s="9"/>
      <c r="I200" s="9"/>
      <c r="J200" s="20"/>
      <c r="K200" s="9"/>
      <c r="L200" s="9"/>
      <c r="M200" s="20"/>
      <c r="N200" s="9"/>
      <c r="O200" s="9"/>
    </row>
    <row r="201" spans="1:15" x14ac:dyDescent="0.15">
      <c r="A201" s="8"/>
      <c r="B201" s="9"/>
      <c r="C201" s="9"/>
      <c r="D201" s="9"/>
      <c r="E201" s="9"/>
      <c r="F201" s="9"/>
      <c r="G201" s="20"/>
      <c r="H201" s="9"/>
      <c r="I201" s="9"/>
      <c r="J201" s="20"/>
      <c r="K201" s="9"/>
      <c r="L201" s="9"/>
      <c r="M201" s="20"/>
      <c r="N201" s="9"/>
      <c r="O201" s="9"/>
    </row>
    <row r="202" spans="1:15" x14ac:dyDescent="0.15">
      <c r="A202" s="8"/>
      <c r="B202" s="9"/>
      <c r="C202" s="9"/>
      <c r="D202" s="9"/>
      <c r="E202" s="9"/>
      <c r="F202" s="9"/>
      <c r="G202" s="20"/>
      <c r="H202" s="9"/>
      <c r="I202" s="9"/>
      <c r="J202" s="20"/>
      <c r="K202" s="9"/>
      <c r="L202" s="9"/>
      <c r="M202" s="20"/>
      <c r="N202" s="9"/>
      <c r="O202" s="9"/>
    </row>
    <row r="203" spans="1:15" x14ac:dyDescent="0.15">
      <c r="A203" s="8"/>
      <c r="B203" s="9"/>
      <c r="C203" s="9"/>
      <c r="D203" s="9"/>
      <c r="E203" s="9"/>
      <c r="F203" s="9"/>
      <c r="G203" s="20"/>
      <c r="H203" s="9"/>
      <c r="I203" s="9"/>
      <c r="J203" s="20"/>
      <c r="K203" s="9"/>
      <c r="L203" s="9"/>
      <c r="M203" s="20"/>
      <c r="N203" s="9"/>
      <c r="O203" s="9"/>
    </row>
    <row r="204" spans="1:15" x14ac:dyDescent="0.15">
      <c r="A204" s="8"/>
      <c r="B204" s="9"/>
      <c r="C204" s="9"/>
      <c r="D204" s="9"/>
      <c r="E204" s="9"/>
      <c r="F204" s="9"/>
      <c r="G204" s="20"/>
      <c r="H204" s="9"/>
      <c r="I204" s="9"/>
      <c r="J204" s="20"/>
      <c r="K204" s="9"/>
      <c r="L204" s="9"/>
      <c r="M204" s="20"/>
      <c r="N204" s="9"/>
      <c r="O204" s="9"/>
    </row>
    <row r="205" spans="1:15" x14ac:dyDescent="0.15">
      <c r="A205" s="8"/>
      <c r="B205" s="9"/>
      <c r="C205" s="9"/>
      <c r="D205" s="9"/>
      <c r="E205" s="9"/>
      <c r="F205" s="9"/>
      <c r="G205" s="20"/>
      <c r="H205" s="9"/>
      <c r="I205" s="9"/>
      <c r="J205" s="20"/>
      <c r="K205" s="9"/>
      <c r="L205" s="9"/>
      <c r="M205" s="20"/>
      <c r="N205" s="9"/>
      <c r="O205" s="9"/>
    </row>
    <row r="206" spans="1:15" x14ac:dyDescent="0.15">
      <c r="A206" s="8"/>
      <c r="B206" s="9"/>
      <c r="C206" s="9"/>
      <c r="D206" s="9"/>
      <c r="E206" s="9"/>
      <c r="F206" s="9"/>
      <c r="G206" s="20"/>
      <c r="H206" s="9"/>
      <c r="I206" s="9"/>
      <c r="J206" s="20"/>
      <c r="K206" s="9"/>
      <c r="L206" s="9"/>
      <c r="M206" s="20"/>
      <c r="N206" s="9"/>
      <c r="O206" s="9"/>
    </row>
    <row r="207" spans="1:15" x14ac:dyDescent="0.15">
      <c r="A207" s="8"/>
      <c r="B207" s="9"/>
      <c r="C207" s="9"/>
      <c r="D207" s="9"/>
      <c r="E207" s="9"/>
      <c r="F207" s="9"/>
      <c r="G207" s="20"/>
      <c r="H207" s="9"/>
      <c r="I207" s="9"/>
      <c r="J207" s="20"/>
      <c r="K207" s="9"/>
      <c r="L207" s="9"/>
      <c r="M207" s="20"/>
      <c r="N207" s="9"/>
      <c r="O207" s="9"/>
    </row>
    <row r="208" spans="1:15" x14ac:dyDescent="0.15">
      <c r="A208" s="8"/>
      <c r="B208" s="9"/>
      <c r="C208" s="9"/>
      <c r="D208" s="9"/>
      <c r="E208" s="9"/>
      <c r="F208" s="9"/>
      <c r="G208" s="20"/>
      <c r="H208" s="9"/>
      <c r="I208" s="9"/>
      <c r="J208" s="20"/>
      <c r="K208" s="9"/>
      <c r="L208" s="9"/>
      <c r="M208" s="20"/>
      <c r="N208" s="9"/>
      <c r="O208" s="9"/>
    </row>
    <row r="209" spans="1:15" x14ac:dyDescent="0.15">
      <c r="A209" s="8"/>
      <c r="B209" s="9"/>
      <c r="C209" s="9"/>
      <c r="D209" s="9"/>
      <c r="E209" s="9"/>
      <c r="F209" s="9"/>
      <c r="G209" s="20"/>
      <c r="H209" s="9"/>
      <c r="I209" s="9"/>
      <c r="J209" s="20"/>
      <c r="K209" s="9"/>
      <c r="L209" s="9"/>
      <c r="M209" s="20"/>
      <c r="N209" s="9"/>
      <c r="O209" s="9"/>
    </row>
    <row r="210" spans="1:15" x14ac:dyDescent="0.15">
      <c r="A210" s="8"/>
      <c r="B210" s="9"/>
      <c r="C210" s="9"/>
      <c r="D210" s="9"/>
      <c r="E210" s="9"/>
      <c r="F210" s="9"/>
      <c r="G210" s="20"/>
      <c r="H210" s="9"/>
      <c r="I210" s="9"/>
      <c r="J210" s="20"/>
      <c r="K210" s="9"/>
      <c r="L210" s="9"/>
      <c r="M210" s="20"/>
      <c r="N210" s="9"/>
      <c r="O210" s="9"/>
    </row>
    <row r="211" spans="1:15" x14ac:dyDescent="0.15">
      <c r="A211" s="8"/>
      <c r="B211" s="9"/>
      <c r="C211" s="9"/>
      <c r="D211" s="9"/>
      <c r="E211" s="9"/>
      <c r="F211" s="9"/>
      <c r="G211" s="20"/>
      <c r="H211" s="9"/>
      <c r="I211" s="9"/>
      <c r="J211" s="20"/>
      <c r="K211" s="9"/>
      <c r="L211" s="9"/>
      <c r="M211" s="20"/>
      <c r="N211" s="9"/>
      <c r="O211" s="9"/>
    </row>
    <row r="212" spans="1:15" x14ac:dyDescent="0.15">
      <c r="A212" s="8"/>
      <c r="B212" s="9"/>
      <c r="C212" s="9"/>
      <c r="D212" s="9"/>
      <c r="E212" s="9"/>
      <c r="F212" s="9"/>
      <c r="G212" s="20"/>
      <c r="H212" s="9"/>
      <c r="I212" s="9"/>
      <c r="J212" s="20"/>
      <c r="K212" s="9"/>
      <c r="L212" s="9"/>
      <c r="M212" s="20"/>
      <c r="N212" s="9"/>
      <c r="O212" s="9"/>
    </row>
    <row r="213" spans="1:15" x14ac:dyDescent="0.15">
      <c r="A213" s="8"/>
      <c r="B213" s="9"/>
      <c r="C213" s="9"/>
      <c r="D213" s="9"/>
      <c r="E213" s="9"/>
      <c r="F213" s="9"/>
      <c r="G213" s="20"/>
      <c r="H213" s="9"/>
      <c r="I213" s="9"/>
      <c r="J213" s="20"/>
      <c r="K213" s="9"/>
      <c r="L213" s="9"/>
      <c r="M213" s="20"/>
      <c r="N213" s="9"/>
      <c r="O213" s="9"/>
    </row>
    <row r="214" spans="1:15" x14ac:dyDescent="0.15">
      <c r="A214" s="8"/>
      <c r="B214" s="9"/>
      <c r="C214" s="9"/>
      <c r="D214" s="9"/>
      <c r="E214" s="9"/>
      <c r="F214" s="9"/>
      <c r="G214" s="20"/>
      <c r="H214" s="9"/>
      <c r="I214" s="9"/>
      <c r="J214" s="20"/>
      <c r="K214" s="9"/>
      <c r="L214" s="9"/>
      <c r="M214" s="20"/>
      <c r="N214" s="9"/>
      <c r="O214" s="9"/>
    </row>
    <row r="215" spans="1:15" x14ac:dyDescent="0.15">
      <c r="A215" s="8"/>
      <c r="B215" s="9"/>
      <c r="C215" s="9"/>
      <c r="D215" s="9"/>
      <c r="E215" s="9"/>
      <c r="F215" s="9"/>
      <c r="G215" s="20"/>
      <c r="H215" s="9"/>
      <c r="I215" s="9"/>
      <c r="J215" s="20"/>
      <c r="K215" s="9"/>
      <c r="L215" s="9"/>
      <c r="M215" s="20"/>
      <c r="N215" s="9"/>
      <c r="O215" s="9"/>
    </row>
    <row r="216" spans="1:15" x14ac:dyDescent="0.15">
      <c r="A216" s="8"/>
      <c r="B216" s="9"/>
      <c r="C216" s="9"/>
      <c r="D216" s="9"/>
      <c r="E216" s="9"/>
      <c r="F216" s="9"/>
      <c r="G216" s="20"/>
      <c r="H216" s="9"/>
      <c r="I216" s="9"/>
      <c r="J216" s="20"/>
      <c r="K216" s="9"/>
      <c r="L216" s="9"/>
      <c r="M216" s="20"/>
      <c r="N216" s="9"/>
      <c r="O216" s="9"/>
    </row>
    <row r="217" spans="1:15" x14ac:dyDescent="0.15">
      <c r="A217" s="8"/>
      <c r="B217" s="9"/>
      <c r="C217" s="9"/>
      <c r="D217" s="9"/>
      <c r="E217" s="9"/>
      <c r="F217" s="9"/>
      <c r="G217" s="20"/>
      <c r="H217" s="9"/>
      <c r="I217" s="9"/>
      <c r="J217" s="20"/>
      <c r="K217" s="9"/>
      <c r="L217" s="9"/>
      <c r="M217" s="20"/>
      <c r="N217" s="9"/>
      <c r="O217" s="9"/>
    </row>
    <row r="218" spans="1:15" x14ac:dyDescent="0.15">
      <c r="A218" s="8"/>
      <c r="B218" s="9"/>
      <c r="C218" s="9"/>
      <c r="D218" s="9"/>
      <c r="E218" s="9"/>
      <c r="F218" s="9"/>
      <c r="G218" s="20"/>
      <c r="H218" s="9"/>
      <c r="I218" s="9"/>
      <c r="J218" s="20"/>
      <c r="K218" s="9"/>
      <c r="L218" s="9"/>
      <c r="M218" s="20"/>
      <c r="N218" s="9"/>
      <c r="O218" s="9"/>
    </row>
    <row r="219" spans="1:15" x14ac:dyDescent="0.15">
      <c r="A219" s="8"/>
      <c r="B219" s="9"/>
      <c r="C219" s="9"/>
      <c r="D219" s="9"/>
      <c r="E219" s="9"/>
      <c r="F219" s="9"/>
      <c r="G219" s="20"/>
      <c r="H219" s="9"/>
      <c r="I219" s="9"/>
      <c r="J219" s="20"/>
      <c r="K219" s="9"/>
      <c r="L219" s="9"/>
      <c r="M219" s="20"/>
      <c r="N219" s="9"/>
      <c r="O219" s="9"/>
    </row>
    <row r="220" spans="1:15" x14ac:dyDescent="0.15">
      <c r="A220" s="8"/>
      <c r="B220" s="9"/>
      <c r="C220" s="9"/>
      <c r="D220" s="9"/>
      <c r="E220" s="9"/>
      <c r="F220" s="9"/>
      <c r="G220" s="20"/>
      <c r="H220" s="9"/>
      <c r="I220" s="9"/>
      <c r="J220" s="20"/>
      <c r="K220" s="9"/>
      <c r="L220" s="9"/>
      <c r="M220" s="20"/>
      <c r="N220" s="9"/>
      <c r="O220" s="9"/>
    </row>
    <row r="221" spans="1:15" x14ac:dyDescent="0.15">
      <c r="A221" s="8"/>
      <c r="B221" s="9"/>
      <c r="C221" s="9"/>
      <c r="D221" s="9"/>
      <c r="E221" s="9"/>
      <c r="F221" s="9"/>
      <c r="G221" s="20"/>
      <c r="H221" s="9"/>
      <c r="I221" s="9"/>
      <c r="J221" s="20"/>
      <c r="K221" s="9"/>
      <c r="L221" s="9"/>
      <c r="M221" s="20"/>
      <c r="N221" s="9"/>
      <c r="O221" s="9"/>
    </row>
    <row r="222" spans="1:15" x14ac:dyDescent="0.15">
      <c r="A222" s="8"/>
      <c r="B222" s="9"/>
      <c r="C222" s="9"/>
      <c r="D222" s="9"/>
      <c r="E222" s="9"/>
      <c r="F222" s="9"/>
      <c r="G222" s="20"/>
      <c r="H222" s="9"/>
      <c r="I222" s="9"/>
      <c r="J222" s="20"/>
      <c r="K222" s="9"/>
      <c r="L222" s="9"/>
      <c r="M222" s="20"/>
      <c r="N222" s="9"/>
      <c r="O222" s="9"/>
    </row>
    <row r="223" spans="1:15" x14ac:dyDescent="0.15">
      <c r="A223" s="8"/>
      <c r="B223" s="9"/>
      <c r="C223" s="9"/>
      <c r="D223" s="9"/>
      <c r="E223" s="9"/>
      <c r="F223" s="9"/>
      <c r="G223" s="20"/>
      <c r="H223" s="9"/>
      <c r="I223" s="9"/>
      <c r="J223" s="20"/>
      <c r="K223" s="9"/>
      <c r="L223" s="9"/>
      <c r="M223" s="20"/>
      <c r="N223" s="9"/>
      <c r="O223" s="9"/>
    </row>
    <row r="224" spans="1:15" x14ac:dyDescent="0.15">
      <c r="A224" s="8"/>
      <c r="B224" s="9"/>
      <c r="C224" s="9"/>
      <c r="D224" s="9"/>
      <c r="E224" s="9"/>
      <c r="F224" s="9"/>
      <c r="G224" s="20"/>
      <c r="H224" s="9"/>
      <c r="I224" s="9"/>
      <c r="J224" s="20"/>
      <c r="K224" s="9"/>
      <c r="L224" s="9"/>
      <c r="M224" s="20"/>
      <c r="N224" s="9"/>
      <c r="O224" s="9"/>
    </row>
    <row r="225" spans="1:15" x14ac:dyDescent="0.15">
      <c r="A225" s="8"/>
      <c r="B225" s="9"/>
      <c r="C225" s="9"/>
      <c r="D225" s="9"/>
      <c r="E225" s="9"/>
      <c r="F225" s="9"/>
      <c r="G225" s="20"/>
      <c r="H225" s="9"/>
      <c r="I225" s="9"/>
      <c r="J225" s="20"/>
      <c r="K225" s="9"/>
      <c r="L225" s="9"/>
      <c r="M225" s="20"/>
      <c r="N225" s="9"/>
      <c r="O225" s="9"/>
    </row>
    <row r="226" spans="1:15" x14ac:dyDescent="0.15">
      <c r="A226" s="8"/>
      <c r="B226" s="9"/>
      <c r="C226" s="9"/>
      <c r="D226" s="9"/>
      <c r="E226" s="9"/>
      <c r="F226" s="9"/>
      <c r="G226" s="20"/>
      <c r="H226" s="9"/>
      <c r="I226" s="9"/>
      <c r="J226" s="20"/>
      <c r="K226" s="9"/>
      <c r="L226" s="9"/>
      <c r="M226" s="20"/>
      <c r="N226" s="9"/>
      <c r="O226" s="9"/>
    </row>
    <row r="227" spans="1:15" x14ac:dyDescent="0.15">
      <c r="A227" s="8"/>
      <c r="B227" s="9"/>
      <c r="C227" s="9"/>
      <c r="D227" s="9"/>
      <c r="E227" s="9"/>
      <c r="F227" s="9"/>
      <c r="G227" s="20"/>
      <c r="H227" s="9"/>
      <c r="I227" s="9"/>
      <c r="J227" s="20"/>
      <c r="K227" s="9"/>
      <c r="L227" s="9"/>
      <c r="M227" s="20"/>
      <c r="N227" s="9"/>
      <c r="O227" s="9"/>
    </row>
    <row r="228" spans="1:15" x14ac:dyDescent="0.15">
      <c r="A228" s="8"/>
      <c r="B228" s="9"/>
      <c r="C228" s="9"/>
      <c r="D228" s="9"/>
      <c r="E228" s="9"/>
      <c r="F228" s="9"/>
      <c r="G228" s="20"/>
      <c r="H228" s="9"/>
      <c r="I228" s="9"/>
      <c r="J228" s="20"/>
      <c r="K228" s="9"/>
      <c r="L228" s="9"/>
      <c r="M228" s="20"/>
      <c r="N228" s="9"/>
      <c r="O228" s="9"/>
    </row>
    <row r="229" spans="1:15" x14ac:dyDescent="0.15">
      <c r="A229" s="8"/>
      <c r="B229" s="9"/>
      <c r="C229" s="9"/>
      <c r="D229" s="9"/>
      <c r="E229" s="9"/>
      <c r="F229" s="9"/>
      <c r="G229" s="20"/>
      <c r="H229" s="9"/>
      <c r="I229" s="9"/>
      <c r="J229" s="20"/>
      <c r="K229" s="9"/>
      <c r="L229" s="9"/>
      <c r="M229" s="20"/>
      <c r="N229" s="9"/>
      <c r="O229" s="9"/>
    </row>
    <row r="230" spans="1:15" x14ac:dyDescent="0.15">
      <c r="A230" s="8"/>
      <c r="B230" s="9"/>
      <c r="C230" s="9"/>
      <c r="D230" s="9"/>
      <c r="E230" s="9"/>
      <c r="F230" s="9"/>
      <c r="G230" s="20"/>
      <c r="H230" s="9"/>
      <c r="I230" s="9"/>
      <c r="J230" s="20"/>
      <c r="K230" s="9"/>
      <c r="L230" s="9"/>
      <c r="M230" s="20"/>
      <c r="N230" s="9"/>
      <c r="O230" s="9"/>
    </row>
    <row r="231" spans="1:15" x14ac:dyDescent="0.15">
      <c r="A231" s="8"/>
      <c r="B231" s="9"/>
      <c r="C231" s="9"/>
      <c r="D231" s="9"/>
      <c r="E231" s="9"/>
      <c r="F231" s="9"/>
      <c r="G231" s="20"/>
      <c r="H231" s="9"/>
      <c r="I231" s="9"/>
      <c r="J231" s="20"/>
      <c r="K231" s="9"/>
      <c r="L231" s="9"/>
      <c r="M231" s="20"/>
      <c r="N231" s="9"/>
      <c r="O231" s="9"/>
    </row>
    <row r="232" spans="1:15" x14ac:dyDescent="0.15">
      <c r="A232" s="8"/>
      <c r="B232" s="9"/>
      <c r="C232" s="9"/>
      <c r="D232" s="9"/>
      <c r="E232" s="9"/>
      <c r="F232" s="9"/>
      <c r="G232" s="20"/>
      <c r="H232" s="9"/>
      <c r="I232" s="9"/>
      <c r="J232" s="20"/>
      <c r="K232" s="9"/>
      <c r="L232" s="9"/>
      <c r="M232" s="20"/>
      <c r="N232" s="9"/>
      <c r="O232" s="9"/>
    </row>
    <row r="233" spans="1:15" x14ac:dyDescent="0.15">
      <c r="A233" s="8"/>
      <c r="B233" s="9"/>
      <c r="C233" s="9"/>
      <c r="D233" s="9"/>
      <c r="E233" s="9"/>
      <c r="F233" s="9"/>
      <c r="G233" s="20"/>
      <c r="H233" s="9"/>
      <c r="I233" s="9"/>
      <c r="J233" s="20"/>
      <c r="K233" s="9"/>
      <c r="L233" s="9"/>
      <c r="M233" s="20"/>
      <c r="N233" s="9"/>
      <c r="O233" s="9"/>
    </row>
  </sheetData>
  <sortState ref="P3:S32">
    <sortCondition descending="1" ref="P2"/>
  </sortState>
  <phoneticPr fontId="1"/>
  <dataValidations count="1">
    <dataValidation imeMode="off" allowBlank="1" showInputMessage="1" showErrorMessage="1" sqref="B1:F1048576"/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3" r:id="rId4" name="CommandButton1">
          <controlPr autoLine="0" r:id="rId5">
            <anchor moveWithCells="1">
              <from>
                <xdr:col>3</xdr:col>
                <xdr:colOff>257175</xdr:colOff>
                <xdr:row>0</xdr:row>
                <xdr:rowOff>47625</xdr:rowOff>
              </from>
              <to>
                <xdr:col>3</xdr:col>
                <xdr:colOff>1181100</xdr:colOff>
                <xdr:row>0</xdr:row>
                <xdr:rowOff>352425</xdr:rowOff>
              </to>
            </anchor>
          </controlPr>
        </control>
      </mc:Choice>
      <mc:Fallback>
        <control shapeId="2053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07"/>
  <sheetViews>
    <sheetView topLeftCell="A4" zoomScaleNormal="100" workbookViewId="0">
      <selection activeCell="A12" sqref="A12"/>
    </sheetView>
  </sheetViews>
  <sheetFormatPr defaultRowHeight="13.5" x14ac:dyDescent="0.15"/>
  <cols>
    <col min="1" max="1" width="17.625" style="22" customWidth="1"/>
    <col min="2" max="2" width="7.75" style="22" customWidth="1"/>
    <col min="3" max="3" width="6.5" style="22" customWidth="1"/>
    <col min="4" max="4" width="8.75" style="22" customWidth="1"/>
  </cols>
  <sheetData>
    <row r="1" spans="1:5" x14ac:dyDescent="0.15">
      <c r="A1" s="22" t="s">
        <v>380</v>
      </c>
      <c r="B1" s="10" t="s">
        <v>105</v>
      </c>
      <c r="C1" s="10" t="s">
        <v>102</v>
      </c>
      <c r="D1" s="11" t="s">
        <v>106</v>
      </c>
      <c r="E1" s="24" t="s">
        <v>177</v>
      </c>
    </row>
    <row r="2" spans="1:5" x14ac:dyDescent="0.15">
      <c r="A2" s="16" t="s">
        <v>107</v>
      </c>
      <c r="B2" s="12">
        <f>COUNTIFS(database!$G$2:$G$1002,A2,database!$C$2:$C$1002,"S")</f>
        <v>9</v>
      </c>
      <c r="C2" s="12">
        <f>COUNTIFS(database!$J$2:$J$1002,A2,database!$C$2:$C$1002,"S")+COUNTIFS(database!$M$2:$M$1002,A2,database!$C$2:$C$1002,"S")</f>
        <v>17</v>
      </c>
      <c r="D2" s="13">
        <f>COUNTIFS(database!$G$2:$G$1002,A2,database!$C$2:$C$1002,"S")+COUNTIFS(database!$J$2:$J$1002,A2,database!$C$2:$C$1002,"S")+COUNTIFS(database!$M$2:$M$1002,A2,database!$C$2:$C$1002,"S")</f>
        <v>26</v>
      </c>
      <c r="E2" s="23">
        <f>D2/SUM($D$2:$D$101)*3</f>
        <v>0.45614035087719296</v>
      </c>
    </row>
    <row r="3" spans="1:5" x14ac:dyDescent="0.15">
      <c r="A3" s="16" t="s">
        <v>123</v>
      </c>
      <c r="B3" s="12">
        <f>COUNTIFS(database!$G$2:$G$1002,A3,database!$C$2:$C$1002,"S")</f>
        <v>8</v>
      </c>
      <c r="C3" s="12">
        <f>COUNTIFS(database!$J$2:$J$1002,A3,database!$C$2:$C$1002,"S")+COUNTIFS(database!$M$2:$M$1002,A3,database!$C$2:$C$1002,"S")</f>
        <v>15</v>
      </c>
      <c r="D3" s="13">
        <f>COUNTIFS(database!$G$2:$G$1002,A3,database!$C$2:$C$1002,"S")+COUNTIFS(database!$J$2:$J$1002,A3,database!$C$2:$C$1002,"S")+COUNTIFS(database!$M$2:$M$1002,A3,database!$C$2:$C$1002,"S")</f>
        <v>23</v>
      </c>
      <c r="E3" s="23">
        <f>D3/SUM($D$2:$D$101)*3</f>
        <v>0.40350877192982454</v>
      </c>
    </row>
    <row r="4" spans="1:5" x14ac:dyDescent="0.15">
      <c r="A4" s="16" t="s">
        <v>122</v>
      </c>
      <c r="B4" s="12">
        <f>COUNTIFS(database!$G$2:$G$1002,A4,database!$C$2:$C$1002,"S")</f>
        <v>5</v>
      </c>
      <c r="C4" s="12">
        <f>COUNTIFS(database!$J$2:$J$1002,A4,database!$C$2:$C$1002,"S")+COUNTIFS(database!$M$2:$M$1002,A4,database!$C$2:$C$1002,"S")</f>
        <v>7</v>
      </c>
      <c r="D4" s="13">
        <f>COUNTIFS(database!$G$2:$G$1002,A4,database!$C$2:$C$1002,"S")+COUNTIFS(database!$J$2:$J$1002,A4,database!$C$2:$C$1002,"S")+COUNTIFS(database!$M$2:$M$1002,A4,database!$C$2:$C$1002,"S")</f>
        <v>12</v>
      </c>
      <c r="E4" s="23">
        <f>D4/SUM($D$2:$D$101)*3</f>
        <v>0.21052631578947367</v>
      </c>
    </row>
    <row r="5" spans="1:5" x14ac:dyDescent="0.15">
      <c r="A5" s="16" t="s">
        <v>124</v>
      </c>
      <c r="B5" s="12">
        <f>COUNTIFS(database!$G$2:$G$1002,A5,database!$C$2:$C$1002,"S")</f>
        <v>5</v>
      </c>
      <c r="C5" s="12">
        <f>COUNTIFS(database!$J$2:$J$1002,A5,database!$C$2:$C$1002,"S")+COUNTIFS(database!$M$2:$M$1002,A5,database!$C$2:$C$1002,"S")</f>
        <v>4</v>
      </c>
      <c r="D5" s="13">
        <f>COUNTIFS(database!$G$2:$G$1002,A5,database!$C$2:$C$1002,"S")+COUNTIFS(database!$J$2:$J$1002,A5,database!$C$2:$C$1002,"S")+COUNTIFS(database!$M$2:$M$1002,A5,database!$C$2:$C$1002,"S")</f>
        <v>9</v>
      </c>
      <c r="E5" s="23">
        <f>D5/SUM($D$2:$D$101)*3</f>
        <v>0.15789473684210525</v>
      </c>
    </row>
    <row r="6" spans="1:5" x14ac:dyDescent="0.15">
      <c r="A6" s="16" t="s">
        <v>111</v>
      </c>
      <c r="B6" s="12">
        <f>COUNTIFS(database!$G$2:$G$1002,A6,database!$C$2:$C$1002,"S")</f>
        <v>4</v>
      </c>
      <c r="C6" s="12">
        <f>COUNTIFS(database!$J$2:$J$1002,A6,database!$C$2:$C$1002,"S")+COUNTIFS(database!$M$2:$M$1002,A6,database!$C$2:$C$1002,"S")</f>
        <v>0</v>
      </c>
      <c r="D6" s="13">
        <f>COUNTIFS(database!$G$2:$G$1002,A6,database!$C$2:$C$1002,"S")+COUNTIFS(database!$J$2:$J$1002,A6,database!$C$2:$C$1002,"S")+COUNTIFS(database!$M$2:$M$1002,A6,database!$C$2:$C$1002,"S")</f>
        <v>4</v>
      </c>
      <c r="E6" s="23">
        <f>D6/SUM($D$2:$D$101)*3</f>
        <v>7.0175438596491224E-2</v>
      </c>
    </row>
    <row r="7" spans="1:5" x14ac:dyDescent="0.15">
      <c r="A7" s="16" t="s">
        <v>131</v>
      </c>
      <c r="B7" s="12">
        <f>COUNTIFS(database!$G$2:$G$1002,A7,database!$C$2:$C$1002,"S")</f>
        <v>3</v>
      </c>
      <c r="C7" s="12">
        <f>COUNTIFS(database!$J$2:$J$1002,A7,database!$C$2:$C$1002,"S")+COUNTIFS(database!$M$2:$M$1002,A7,database!$C$2:$C$1002,"S")</f>
        <v>1</v>
      </c>
      <c r="D7" s="13">
        <f>COUNTIFS(database!$G$2:$G$1002,A7,database!$C$2:$C$1002,"S")+COUNTIFS(database!$J$2:$J$1002,A7,database!$C$2:$C$1002,"S")+COUNTIFS(database!$M$2:$M$1002,A7,database!$C$2:$C$1002,"S")</f>
        <v>4</v>
      </c>
      <c r="E7" s="23">
        <f>D7/SUM($D$2:$D$101)*3</f>
        <v>7.0175438596491224E-2</v>
      </c>
    </row>
    <row r="8" spans="1:5" x14ac:dyDescent="0.15">
      <c r="A8" s="16" t="s">
        <v>114</v>
      </c>
      <c r="B8" s="12">
        <f>COUNTIFS(database!$G$2:$G$1002,A8,database!$C$2:$C$1002,"S")</f>
        <v>2</v>
      </c>
      <c r="C8" s="12">
        <f>COUNTIFS(database!$J$2:$J$1002,A8,database!$C$2:$C$1002,"S")+COUNTIFS(database!$M$2:$M$1002,A8,database!$C$2:$C$1002,"S")</f>
        <v>8</v>
      </c>
      <c r="D8" s="13">
        <f>COUNTIFS(database!$G$2:$G$1002,A8,database!$C$2:$C$1002,"S")+COUNTIFS(database!$J$2:$J$1002,A8,database!$C$2:$C$1002,"S")+COUNTIFS(database!$M$2:$M$1002,A8,database!$C$2:$C$1002,"S")</f>
        <v>10</v>
      </c>
      <c r="E8" s="23">
        <f>D8/SUM($D$2:$D$101)*3</f>
        <v>0.17543859649122806</v>
      </c>
    </row>
    <row r="9" spans="1:5" x14ac:dyDescent="0.15">
      <c r="A9" s="16" t="s">
        <v>118</v>
      </c>
      <c r="B9" s="12">
        <f>COUNTIFS(database!$G$2:$G$1002,A9,database!$C$2:$C$1002,"S")</f>
        <v>2</v>
      </c>
      <c r="C9" s="12">
        <f>COUNTIFS(database!$J$2:$J$1002,A9,database!$C$2:$C$1002,"S")+COUNTIFS(database!$M$2:$M$1002,A9,database!$C$2:$C$1002,"S")</f>
        <v>6</v>
      </c>
      <c r="D9" s="13">
        <f>COUNTIFS(database!$G$2:$G$1002,A9,database!$C$2:$C$1002,"S")+COUNTIFS(database!$J$2:$J$1002,A9,database!$C$2:$C$1002,"S")+COUNTIFS(database!$M$2:$M$1002,A9,database!$C$2:$C$1002,"S")</f>
        <v>8</v>
      </c>
      <c r="E9" s="23">
        <f>D9/SUM($D$2:$D$101)*3</f>
        <v>0.14035087719298245</v>
      </c>
    </row>
    <row r="10" spans="1:5" x14ac:dyDescent="0.15">
      <c r="A10" s="16" t="s">
        <v>168</v>
      </c>
      <c r="B10" s="12">
        <f>COUNTIFS(database!$G$2:$G$1002,A10,database!$C$2:$C$1002,"S")</f>
        <v>2</v>
      </c>
      <c r="C10" s="12">
        <f>COUNTIFS(database!$J$2:$J$1002,A10,database!$C$2:$C$1002,"S")+COUNTIFS(database!$M$2:$M$1002,A10,database!$C$2:$C$1002,"S")</f>
        <v>0</v>
      </c>
      <c r="D10" s="13">
        <f>COUNTIFS(database!$G$2:$G$1002,A10,database!$C$2:$C$1002,"S")+COUNTIFS(database!$J$2:$J$1002,A10,database!$C$2:$C$1002,"S")+COUNTIFS(database!$M$2:$M$1002,A10,database!$C$2:$C$1002,"S")</f>
        <v>2</v>
      </c>
      <c r="E10" s="23">
        <f>D10/SUM($D$2:$D$101)*3</f>
        <v>3.5087719298245612E-2</v>
      </c>
    </row>
    <row r="11" spans="1:5" x14ac:dyDescent="0.15">
      <c r="A11" s="16" t="s">
        <v>115</v>
      </c>
      <c r="B11" s="12">
        <f>COUNTIFS(database!$G$2:$G$1002,A11,database!$C$2:$C$1002,"S")</f>
        <v>1</v>
      </c>
      <c r="C11" s="12">
        <f>COUNTIFS(database!$J$2:$J$1002,A11,database!$C$2:$C$1002,"S")+COUNTIFS(database!$M$2:$M$1002,A11,database!$C$2:$C$1002,"S")</f>
        <v>7</v>
      </c>
      <c r="D11" s="13">
        <f>COUNTIFS(database!$G$2:$G$1002,A11,database!$C$2:$C$1002,"S")+COUNTIFS(database!$J$2:$J$1002,A11,database!$C$2:$C$1002,"S")+COUNTIFS(database!$M$2:$M$1002,A11,database!$C$2:$C$1002,"S")</f>
        <v>8</v>
      </c>
      <c r="E11" s="23">
        <f>D11/SUM($D$2:$D$101)*3</f>
        <v>0.14035087719298245</v>
      </c>
    </row>
    <row r="12" spans="1:5" x14ac:dyDescent="0.15">
      <c r="A12" s="16" t="s">
        <v>144</v>
      </c>
      <c r="B12" s="12">
        <f>COUNTIFS(database!$G$2:$G$1002,A12,database!$C$2:$C$1002,"S")</f>
        <v>1</v>
      </c>
      <c r="C12" s="12">
        <f>COUNTIFS(database!$J$2:$J$1002,A12,database!$C$2:$C$1002,"S")+COUNTIFS(database!$M$2:$M$1002,A12,database!$C$2:$C$1002,"S")</f>
        <v>5</v>
      </c>
      <c r="D12" s="13">
        <f>COUNTIFS(database!$G$2:$G$1002,A12,database!$C$2:$C$1002,"S")+COUNTIFS(database!$J$2:$J$1002,A12,database!$C$2:$C$1002,"S")+COUNTIFS(database!$M$2:$M$1002,A12,database!$C$2:$C$1002,"S")</f>
        <v>6</v>
      </c>
      <c r="E12" s="23">
        <f>D12/SUM($D$2:$D$101)*3</f>
        <v>0.10526315789473684</v>
      </c>
    </row>
    <row r="13" spans="1:5" x14ac:dyDescent="0.15">
      <c r="A13" s="16" t="s">
        <v>143</v>
      </c>
      <c r="B13" s="12">
        <f>COUNTIFS(database!$G$2:$G$1002,A13,database!$C$2:$C$1002,"S")</f>
        <v>1</v>
      </c>
      <c r="C13" s="12">
        <f>COUNTIFS(database!$J$2:$J$1002,A13,database!$C$2:$C$1002,"S")+COUNTIFS(database!$M$2:$M$1002,A13,database!$C$2:$C$1002,"S")</f>
        <v>4</v>
      </c>
      <c r="D13" s="13">
        <f>COUNTIFS(database!$G$2:$G$1002,A13,database!$C$2:$C$1002,"S")+COUNTIFS(database!$J$2:$J$1002,A13,database!$C$2:$C$1002,"S")+COUNTIFS(database!$M$2:$M$1002,A13,database!$C$2:$C$1002,"S")</f>
        <v>5</v>
      </c>
      <c r="E13" s="23">
        <f>D13/SUM($D$2:$D$101)*3</f>
        <v>8.771929824561403E-2</v>
      </c>
    </row>
    <row r="14" spans="1:5" x14ac:dyDescent="0.15">
      <c r="A14" s="16" t="s">
        <v>129</v>
      </c>
      <c r="B14" s="12">
        <f>COUNTIFS(database!$G$2:$G$1002,A14,database!$C$2:$C$1002,"S")</f>
        <v>1</v>
      </c>
      <c r="C14" s="12">
        <f>COUNTIFS(database!$J$2:$J$1002,A14,database!$C$2:$C$1002,"S")+COUNTIFS(database!$M$2:$M$1002,A14,database!$C$2:$C$1002,"S")</f>
        <v>2</v>
      </c>
      <c r="D14" s="13">
        <f>COUNTIFS(database!$G$2:$G$1002,A14,database!$C$2:$C$1002,"S")+COUNTIFS(database!$J$2:$J$1002,A14,database!$C$2:$C$1002,"S")+COUNTIFS(database!$M$2:$M$1002,A14,database!$C$2:$C$1002,"S")</f>
        <v>3</v>
      </c>
      <c r="E14" s="23">
        <f>D14/SUM($D$2:$D$101)*3</f>
        <v>5.2631578947368418E-2</v>
      </c>
    </row>
    <row r="15" spans="1:5" x14ac:dyDescent="0.15">
      <c r="A15" s="16" t="s">
        <v>163</v>
      </c>
      <c r="B15" s="12">
        <f>COUNTIFS(database!$G$2:$G$1002,A15,database!$C$2:$C$1002,"S")</f>
        <v>1</v>
      </c>
      <c r="C15" s="12">
        <f>COUNTIFS(database!$J$2:$J$1002,A15,database!$C$2:$C$1002,"S")+COUNTIFS(database!$M$2:$M$1002,A15,database!$C$2:$C$1002,"S")</f>
        <v>1</v>
      </c>
      <c r="D15" s="13">
        <f>COUNTIFS(database!$G$2:$G$1002,A15,database!$C$2:$C$1002,"S")+COUNTIFS(database!$J$2:$J$1002,A15,database!$C$2:$C$1002,"S")+COUNTIFS(database!$M$2:$M$1002,A15,database!$C$2:$C$1002,"S")</f>
        <v>2</v>
      </c>
      <c r="E15" s="23">
        <f>D15/SUM($D$2:$D$101)*3</f>
        <v>3.5087719298245612E-2</v>
      </c>
    </row>
    <row r="16" spans="1:5" x14ac:dyDescent="0.15">
      <c r="A16" s="16" t="s">
        <v>174</v>
      </c>
      <c r="B16" s="12">
        <f>COUNTIFS(database!$G$2:$G$1002,A16,database!$C$2:$C$1002,"S")</f>
        <v>1</v>
      </c>
      <c r="C16" s="12">
        <f>COUNTIFS(database!$J$2:$J$1002,A16,database!$C$2:$C$1002,"S")+COUNTIFS(database!$M$2:$M$1002,A16,database!$C$2:$C$1002,"S")</f>
        <v>1</v>
      </c>
      <c r="D16" s="13">
        <f>COUNTIFS(database!$G$2:$G$1002,A16,database!$C$2:$C$1002,"S")+COUNTIFS(database!$J$2:$J$1002,A16,database!$C$2:$C$1002,"S")+COUNTIFS(database!$M$2:$M$1002,A16,database!$C$2:$C$1002,"S")</f>
        <v>2</v>
      </c>
      <c r="E16" s="23">
        <f>D16/SUM($D$2:$D$101)*3</f>
        <v>3.5087719298245612E-2</v>
      </c>
    </row>
    <row r="17" spans="1:5" x14ac:dyDescent="0.15">
      <c r="A17" s="16" t="s">
        <v>170</v>
      </c>
      <c r="B17" s="12">
        <f>COUNTIFS(database!$G$2:$G$1002,A17,database!$C$2:$C$1002,"S")</f>
        <v>1</v>
      </c>
      <c r="C17" s="12">
        <f>COUNTIFS(database!$J$2:$J$1002,A17,database!$C$2:$C$1002,"S")+COUNTIFS(database!$M$2:$M$1002,A17,database!$C$2:$C$1002,"S")</f>
        <v>1</v>
      </c>
      <c r="D17" s="13">
        <f>COUNTIFS(database!$G$2:$G$1002,A17,database!$C$2:$C$1002,"S")+COUNTIFS(database!$J$2:$J$1002,A17,database!$C$2:$C$1002,"S")+COUNTIFS(database!$M$2:$M$1002,A17,database!$C$2:$C$1002,"S")</f>
        <v>2</v>
      </c>
      <c r="E17" s="23">
        <f>D17/SUM($D$2:$D$101)*3</f>
        <v>3.5087719298245612E-2</v>
      </c>
    </row>
    <row r="18" spans="1:5" x14ac:dyDescent="0.15">
      <c r="A18" s="16" t="s">
        <v>171</v>
      </c>
      <c r="B18" s="12">
        <f>COUNTIFS(database!$G$2:$G$1002,A18,database!$C$2:$C$1002,"S")</f>
        <v>1</v>
      </c>
      <c r="C18" s="12">
        <f>COUNTIFS(database!$J$2:$J$1002,A18,database!$C$2:$C$1002,"S")+COUNTIFS(database!$M$2:$M$1002,A18,database!$C$2:$C$1002,"S")</f>
        <v>1</v>
      </c>
      <c r="D18" s="13">
        <f>COUNTIFS(database!$G$2:$G$1002,A18,database!$C$2:$C$1002,"S")+COUNTIFS(database!$J$2:$J$1002,A18,database!$C$2:$C$1002,"S")+COUNTIFS(database!$M$2:$M$1002,A18,database!$C$2:$C$1002,"S")</f>
        <v>2</v>
      </c>
      <c r="E18" s="23">
        <f>D18/SUM($D$2:$D$101)*3</f>
        <v>3.5087719298245612E-2</v>
      </c>
    </row>
    <row r="19" spans="1:5" x14ac:dyDescent="0.15">
      <c r="A19" s="16" t="s">
        <v>109</v>
      </c>
      <c r="B19" s="12">
        <f>COUNTIFS(database!$G$2:$G$1002,A19,database!$C$2:$C$1002,"S")</f>
        <v>1</v>
      </c>
      <c r="C19" s="12">
        <f>COUNTIFS(database!$J$2:$J$1002,A19,database!$C$2:$C$1002,"S")+COUNTIFS(database!$M$2:$M$1002,A19,database!$C$2:$C$1002,"S")</f>
        <v>1</v>
      </c>
      <c r="D19" s="13">
        <f>COUNTIFS(database!$G$2:$G$1002,A19,database!$C$2:$C$1002,"S")+COUNTIFS(database!$J$2:$J$1002,A19,database!$C$2:$C$1002,"S")+COUNTIFS(database!$M$2:$M$1002,A19,database!$C$2:$C$1002,"S")</f>
        <v>2</v>
      </c>
      <c r="E19" s="23">
        <f>D19/SUM($D$2:$D$101)*3</f>
        <v>3.5087719298245612E-2</v>
      </c>
    </row>
    <row r="20" spans="1:5" x14ac:dyDescent="0.15">
      <c r="A20" s="16" t="s">
        <v>132</v>
      </c>
      <c r="B20" s="12">
        <f>COUNTIFS(database!$G$2:$G$1002,A20,database!$C$2:$C$1002,"S")</f>
        <v>1</v>
      </c>
      <c r="C20" s="12">
        <f>COUNTIFS(database!$J$2:$J$1002,A20,database!$C$2:$C$1002,"S")+COUNTIFS(database!$M$2:$M$1002,A20,database!$C$2:$C$1002,"S")</f>
        <v>1</v>
      </c>
      <c r="D20" s="13">
        <f>COUNTIFS(database!$G$2:$G$1002,A20,database!$C$2:$C$1002,"S")+COUNTIFS(database!$J$2:$J$1002,A20,database!$C$2:$C$1002,"S")+COUNTIFS(database!$M$2:$M$1002,A20,database!$C$2:$C$1002,"S")</f>
        <v>2</v>
      </c>
      <c r="E20" s="23">
        <f>D20/SUM($D$2:$D$101)*3</f>
        <v>3.5087719298245612E-2</v>
      </c>
    </row>
    <row r="21" spans="1:5" x14ac:dyDescent="0.15">
      <c r="A21" s="16" t="s">
        <v>486</v>
      </c>
      <c r="B21" s="12">
        <f>COUNTIFS(database!$G$2:$G$1002,A21,database!$C$2:$C$1002,"S")</f>
        <v>1</v>
      </c>
      <c r="C21" s="12">
        <f>COUNTIFS(database!$J$2:$J$1002,A21,database!$C$2:$C$1002,"S")+COUNTIFS(database!$M$2:$M$1002,A21,database!$C$2:$C$1002,"S")</f>
        <v>0</v>
      </c>
      <c r="D21" s="13">
        <f>COUNTIFS(database!$G$2:$G$1002,A21,database!$C$2:$C$1002,"S")+COUNTIFS(database!$J$2:$J$1002,A21,database!$C$2:$C$1002,"S")+COUNTIFS(database!$M$2:$M$1002,A21,database!$C$2:$C$1002,"S")</f>
        <v>1</v>
      </c>
      <c r="E21" s="23">
        <f>D21/SUM($D$2:$D$101)*3</f>
        <v>1.7543859649122806E-2</v>
      </c>
    </row>
    <row r="22" spans="1:5" x14ac:dyDescent="0.15">
      <c r="A22" s="16" t="s">
        <v>496</v>
      </c>
      <c r="B22" s="12">
        <f>COUNTIFS(database!$G$2:$G$1002,A22,database!$C$2:$C$1002,"S")</f>
        <v>1</v>
      </c>
      <c r="C22" s="12">
        <f>COUNTIFS(database!$J$2:$J$1002,A22,database!$C$2:$C$1002,"S")+COUNTIFS(database!$M$2:$M$1002,A22,database!$C$2:$C$1002,"S")</f>
        <v>0</v>
      </c>
      <c r="D22" s="13">
        <f>COUNTIFS(database!$G$2:$G$1002,A22,database!$C$2:$C$1002,"S")+COUNTIFS(database!$J$2:$J$1002,A22,database!$C$2:$C$1002,"S")+COUNTIFS(database!$M$2:$M$1002,A22,database!$C$2:$C$1002,"S")</f>
        <v>1</v>
      </c>
      <c r="E22" s="23">
        <f>D22/SUM($D$2:$D$101)*3</f>
        <v>1.7543859649122806E-2</v>
      </c>
    </row>
    <row r="23" spans="1:5" x14ac:dyDescent="0.15">
      <c r="A23" s="16" t="s">
        <v>524</v>
      </c>
      <c r="B23" s="12">
        <f>COUNTIFS(database!$G$2:$G$1002,A23,database!$C$2:$C$1002,"S")</f>
        <v>1</v>
      </c>
      <c r="C23" s="12">
        <f>COUNTIFS(database!$J$2:$J$1002,A23,database!$C$2:$C$1002,"S")+COUNTIFS(database!$M$2:$M$1002,A23,database!$C$2:$C$1002,"S")</f>
        <v>0</v>
      </c>
      <c r="D23" s="13">
        <f>COUNTIFS(database!$G$2:$G$1002,A23,database!$C$2:$C$1002,"S")+COUNTIFS(database!$J$2:$J$1002,A23,database!$C$2:$C$1002,"S")+COUNTIFS(database!$M$2:$M$1002,A23,database!$C$2:$C$1002,"S")</f>
        <v>1</v>
      </c>
      <c r="E23" s="23">
        <f>D23/SUM($D$2:$D$101)*3</f>
        <v>1.7543859649122806E-2</v>
      </c>
    </row>
    <row r="24" spans="1:5" x14ac:dyDescent="0.15">
      <c r="A24" s="16" t="s">
        <v>431</v>
      </c>
      <c r="B24" s="12">
        <f>COUNTIFS(database!$G$2:$G$1002,A24,database!$C$2:$C$1002,"S")</f>
        <v>1</v>
      </c>
      <c r="C24" s="12">
        <f>COUNTIFS(database!$J$2:$J$1002,A24,database!$C$2:$C$1002,"S")+COUNTIFS(database!$M$2:$M$1002,A24,database!$C$2:$C$1002,"S")</f>
        <v>0</v>
      </c>
      <c r="D24" s="13">
        <f>COUNTIFS(database!$G$2:$G$1002,A24,database!$C$2:$C$1002,"S")+COUNTIFS(database!$J$2:$J$1002,A24,database!$C$2:$C$1002,"S")+COUNTIFS(database!$M$2:$M$1002,A24,database!$C$2:$C$1002,"S")</f>
        <v>1</v>
      </c>
      <c r="E24" s="23">
        <f>D24/SUM($D$2:$D$101)*3</f>
        <v>1.7543859649122806E-2</v>
      </c>
    </row>
    <row r="25" spans="1:5" x14ac:dyDescent="0.15">
      <c r="A25" s="16" t="s">
        <v>128</v>
      </c>
      <c r="B25" s="12">
        <f>COUNTIFS(database!$G$2:$G$1002,A25,database!$C$2:$C$1002,"S")</f>
        <v>1</v>
      </c>
      <c r="C25" s="12">
        <f>COUNTIFS(database!$J$2:$J$1002,A25,database!$C$2:$C$1002,"S")+COUNTIFS(database!$M$2:$M$1002,A25,database!$C$2:$C$1002,"S")</f>
        <v>0</v>
      </c>
      <c r="D25" s="13">
        <f>COUNTIFS(database!$G$2:$G$1002,A25,database!$C$2:$C$1002,"S")+COUNTIFS(database!$J$2:$J$1002,A25,database!$C$2:$C$1002,"S")+COUNTIFS(database!$M$2:$M$1002,A25,database!$C$2:$C$1002,"S")</f>
        <v>1</v>
      </c>
      <c r="E25" s="23">
        <f>D25/SUM($D$2:$D$101)*3</f>
        <v>1.7543859649122806E-2</v>
      </c>
    </row>
    <row r="26" spans="1:5" x14ac:dyDescent="0.15">
      <c r="A26" s="16" t="s">
        <v>134</v>
      </c>
      <c r="B26" s="12">
        <f>COUNTIFS(database!$G$2:$G$1002,A26,database!$C$2:$C$1002,"S")</f>
        <v>1</v>
      </c>
      <c r="C26" s="12">
        <f>COUNTIFS(database!$J$2:$J$1002,A26,database!$C$2:$C$1002,"S")+COUNTIFS(database!$M$2:$M$1002,A26,database!$C$2:$C$1002,"S")</f>
        <v>0</v>
      </c>
      <c r="D26" s="13">
        <f>COUNTIFS(database!$G$2:$G$1002,A26,database!$C$2:$C$1002,"S")+COUNTIFS(database!$J$2:$J$1002,A26,database!$C$2:$C$1002,"S")+COUNTIFS(database!$M$2:$M$1002,A26,database!$C$2:$C$1002,"S")</f>
        <v>1</v>
      </c>
      <c r="E26" s="23">
        <f>D26/SUM($D$2:$D$101)*3</f>
        <v>1.7543859649122806E-2</v>
      </c>
    </row>
    <row r="27" spans="1:5" x14ac:dyDescent="0.15">
      <c r="A27" s="16" t="s">
        <v>136</v>
      </c>
      <c r="B27" s="12">
        <f>COUNTIFS(database!$G$2:$G$1002,A27,database!$C$2:$C$1002,"S")</f>
        <v>1</v>
      </c>
      <c r="C27" s="12">
        <f>COUNTIFS(database!$J$2:$J$1002,A27,database!$C$2:$C$1002,"S")+COUNTIFS(database!$M$2:$M$1002,A27,database!$C$2:$C$1002,"S")</f>
        <v>0</v>
      </c>
      <c r="D27" s="13">
        <f>COUNTIFS(database!$G$2:$G$1002,A27,database!$C$2:$C$1002,"S")+COUNTIFS(database!$J$2:$J$1002,A27,database!$C$2:$C$1002,"S")+COUNTIFS(database!$M$2:$M$1002,A27,database!$C$2:$C$1002,"S")</f>
        <v>1</v>
      </c>
      <c r="E27" s="23">
        <f>D27/SUM($D$2:$D$101)*3</f>
        <v>1.7543859649122806E-2</v>
      </c>
    </row>
    <row r="28" spans="1:5" x14ac:dyDescent="0.15">
      <c r="A28" s="16" t="s">
        <v>160</v>
      </c>
      <c r="B28" s="12">
        <f>COUNTIFS(database!$G$2:$G$1002,A28,database!$C$2:$C$1002,"S")</f>
        <v>1</v>
      </c>
      <c r="C28" s="12">
        <f>COUNTIFS(database!$J$2:$J$1002,A28,database!$C$2:$C$1002,"S")+COUNTIFS(database!$M$2:$M$1002,A28,database!$C$2:$C$1002,"S")</f>
        <v>0</v>
      </c>
      <c r="D28" s="13">
        <f>COUNTIFS(database!$G$2:$G$1002,A28,database!$C$2:$C$1002,"S")+COUNTIFS(database!$J$2:$J$1002,A28,database!$C$2:$C$1002,"S")+COUNTIFS(database!$M$2:$M$1002,A28,database!$C$2:$C$1002,"S")</f>
        <v>1</v>
      </c>
      <c r="E28" s="23">
        <f>D28/SUM($D$2:$D$101)*3</f>
        <v>1.7543859649122806E-2</v>
      </c>
    </row>
    <row r="29" spans="1:5" x14ac:dyDescent="0.15">
      <c r="A29" s="16" t="s">
        <v>166</v>
      </c>
      <c r="B29" s="12">
        <f>COUNTIFS(database!$G$2:$G$1002,A29,database!$C$2:$C$1002,"S")</f>
        <v>1</v>
      </c>
      <c r="C29" s="12">
        <f>COUNTIFS(database!$J$2:$J$1002,A29,database!$C$2:$C$1002,"S")+COUNTIFS(database!$M$2:$M$1002,A29,database!$C$2:$C$1002,"S")</f>
        <v>0</v>
      </c>
      <c r="D29" s="13">
        <f>COUNTIFS(database!$G$2:$G$1002,A29,database!$C$2:$C$1002,"S")+COUNTIFS(database!$J$2:$J$1002,A29,database!$C$2:$C$1002,"S")+COUNTIFS(database!$M$2:$M$1002,A29,database!$C$2:$C$1002,"S")</f>
        <v>1</v>
      </c>
      <c r="E29" s="23">
        <f>D29/SUM($D$2:$D$101)*3</f>
        <v>1.7543859649122806E-2</v>
      </c>
    </row>
    <row r="30" spans="1:5" x14ac:dyDescent="0.15">
      <c r="A30" s="16" t="s">
        <v>159</v>
      </c>
      <c r="B30" s="12">
        <f>COUNTIFS(database!$G$2:$G$1002,A30,database!$C$2:$C$1002,"S")</f>
        <v>0</v>
      </c>
      <c r="C30" s="12">
        <f>COUNTIFS(database!$J$2:$J$1002,A30,database!$C$2:$C$1002,"S")+COUNTIFS(database!$M$2:$M$1002,A30,database!$C$2:$C$1002,"S")</f>
        <v>3</v>
      </c>
      <c r="D30" s="13">
        <f>COUNTIFS(database!$G$2:$G$1002,A30,database!$C$2:$C$1002,"S")+COUNTIFS(database!$J$2:$J$1002,A30,database!$C$2:$C$1002,"S")+COUNTIFS(database!$M$2:$M$1002,A30,database!$C$2:$C$1002,"S")</f>
        <v>3</v>
      </c>
      <c r="E30" s="23">
        <f>D30/SUM($D$2:$D$101)*3</f>
        <v>5.2631578947368418E-2</v>
      </c>
    </row>
    <row r="31" spans="1:5" x14ac:dyDescent="0.15">
      <c r="A31" s="16" t="s">
        <v>113</v>
      </c>
      <c r="B31" s="12">
        <f>COUNTIFS(database!$G$2:$G$1002,A31,database!$C$2:$C$1002,"S")</f>
        <v>0</v>
      </c>
      <c r="C31" s="12">
        <f>COUNTIFS(database!$J$2:$J$1002,A31,database!$C$2:$C$1002,"S")+COUNTIFS(database!$M$2:$M$1002,A31,database!$C$2:$C$1002,"S")</f>
        <v>2</v>
      </c>
      <c r="D31" s="13">
        <f>COUNTIFS(database!$G$2:$G$1002,A31,database!$C$2:$C$1002,"S")+COUNTIFS(database!$J$2:$J$1002,A31,database!$C$2:$C$1002,"S")+COUNTIFS(database!$M$2:$M$1002,A31,database!$C$2:$C$1002,"S")</f>
        <v>2</v>
      </c>
      <c r="E31" s="23">
        <f>D31/SUM($D$2:$D$101)*3</f>
        <v>3.5087719298245612E-2</v>
      </c>
    </row>
    <row r="32" spans="1:5" x14ac:dyDescent="0.15">
      <c r="A32" s="16" t="s">
        <v>135</v>
      </c>
      <c r="B32" s="12">
        <f>COUNTIFS(database!$G$2:$G$1002,A32,database!$C$2:$C$1002,"S")</f>
        <v>0</v>
      </c>
      <c r="C32" s="12">
        <f>COUNTIFS(database!$J$2:$J$1002,A32,database!$C$2:$C$1002,"S")+COUNTIFS(database!$M$2:$M$1002,A32,database!$C$2:$C$1002,"S")</f>
        <v>2</v>
      </c>
      <c r="D32" s="13">
        <f>COUNTIFS(database!$G$2:$G$1002,A32,database!$C$2:$C$1002,"S")+COUNTIFS(database!$J$2:$J$1002,A32,database!$C$2:$C$1002,"S")+COUNTIFS(database!$M$2:$M$1002,A32,database!$C$2:$C$1002,"S")</f>
        <v>2</v>
      </c>
      <c r="E32" s="23">
        <f>D32/SUM($D$2:$D$101)*3</f>
        <v>3.5087719298245612E-2</v>
      </c>
    </row>
    <row r="33" spans="1:5" x14ac:dyDescent="0.15">
      <c r="A33" s="16" t="s">
        <v>530</v>
      </c>
      <c r="B33" s="12">
        <f>COUNTIFS(database!$G$2:$G$1002,A33,database!$C$2:$C$1002,"S")</f>
        <v>0</v>
      </c>
      <c r="C33" s="12">
        <f>COUNTIFS(database!$J$2:$J$1002,A33,database!$C$2:$C$1002,"S")+COUNTIFS(database!$M$2:$M$1002,A33,database!$C$2:$C$1002,"S")</f>
        <v>2</v>
      </c>
      <c r="D33" s="13">
        <f>COUNTIFS(database!$G$2:$G$1002,A33,database!$C$2:$C$1002,"S")+COUNTIFS(database!$J$2:$J$1002,A33,database!$C$2:$C$1002,"S")+COUNTIFS(database!$M$2:$M$1002,A33,database!$C$2:$C$1002,"S")</f>
        <v>2</v>
      </c>
      <c r="E33" s="23">
        <f>D33/SUM($D$2:$D$101)*3</f>
        <v>3.5087719298245612E-2</v>
      </c>
    </row>
    <row r="34" spans="1:5" x14ac:dyDescent="0.15">
      <c r="A34" s="16" t="s">
        <v>472</v>
      </c>
      <c r="B34" s="12">
        <f>COUNTIFS(database!$G$2:$G$1002,A34,database!$C$2:$C$1002,"S")</f>
        <v>0</v>
      </c>
      <c r="C34" s="12">
        <f>COUNTIFS(database!$J$2:$J$1002,A34,database!$C$2:$C$1002,"S")+COUNTIFS(database!$M$2:$M$1002,A34,database!$C$2:$C$1002,"S")</f>
        <v>1</v>
      </c>
      <c r="D34" s="13">
        <f>COUNTIFS(database!$G$2:$G$1002,A34,database!$C$2:$C$1002,"S")+COUNTIFS(database!$J$2:$J$1002,A34,database!$C$2:$C$1002,"S")+COUNTIFS(database!$M$2:$M$1002,A34,database!$C$2:$C$1002,"S")</f>
        <v>1</v>
      </c>
      <c r="E34" s="23">
        <f>D34/SUM($D$2:$D$101)*3</f>
        <v>1.7543859649122806E-2</v>
      </c>
    </row>
    <row r="35" spans="1:5" x14ac:dyDescent="0.15">
      <c r="A35" s="16" t="s">
        <v>571</v>
      </c>
      <c r="B35" s="12">
        <f>COUNTIFS(database!$G$2:$G$1002,A35,database!$C$2:$C$1002,"S")</f>
        <v>0</v>
      </c>
      <c r="C35" s="12">
        <f>COUNTIFS(database!$J$2:$J$1002,A35,database!$C$2:$C$1002,"S")+COUNTIFS(database!$M$2:$M$1002,A35,database!$C$2:$C$1002,"S")</f>
        <v>1</v>
      </c>
      <c r="D35" s="13">
        <f>COUNTIFS(database!$G$2:$G$1002,A35,database!$C$2:$C$1002,"S")+COUNTIFS(database!$J$2:$J$1002,A35,database!$C$2:$C$1002,"S")+COUNTIFS(database!$M$2:$M$1002,A35,database!$C$2:$C$1002,"S")</f>
        <v>1</v>
      </c>
      <c r="E35" s="23">
        <f>D35/SUM($D$2:$D$101)*3</f>
        <v>1.7543859649122806E-2</v>
      </c>
    </row>
    <row r="36" spans="1:5" x14ac:dyDescent="0.15">
      <c r="A36" s="16" t="s">
        <v>463</v>
      </c>
      <c r="B36" s="12">
        <f>COUNTIFS(database!$G$2:$G$1002,A36,database!$C$2:$C$1002,"S")</f>
        <v>0</v>
      </c>
      <c r="C36" s="12">
        <f>COUNTIFS(database!$J$2:$J$1002,A36,database!$C$2:$C$1002,"S")+COUNTIFS(database!$M$2:$M$1002,A36,database!$C$2:$C$1002,"S")</f>
        <v>1</v>
      </c>
      <c r="D36" s="13">
        <f>COUNTIFS(database!$G$2:$G$1002,A36,database!$C$2:$C$1002,"S")+COUNTIFS(database!$J$2:$J$1002,A36,database!$C$2:$C$1002,"S")+COUNTIFS(database!$M$2:$M$1002,A36,database!$C$2:$C$1002,"S")</f>
        <v>1</v>
      </c>
      <c r="E36" s="23">
        <f>D36/SUM($D$2:$D$101)*3</f>
        <v>1.7543859649122806E-2</v>
      </c>
    </row>
    <row r="37" spans="1:5" x14ac:dyDescent="0.15">
      <c r="A37" s="16" t="s">
        <v>572</v>
      </c>
      <c r="B37" s="12">
        <f>COUNTIFS(database!$G$2:$G$1002,A37,database!$C$2:$C$1002,"S")</f>
        <v>0</v>
      </c>
      <c r="C37" s="12">
        <f>COUNTIFS(database!$J$2:$J$1002,A37,database!$C$2:$C$1002,"S")+COUNTIFS(database!$M$2:$M$1002,A37,database!$C$2:$C$1002,"S")</f>
        <v>1</v>
      </c>
      <c r="D37" s="13">
        <f>COUNTIFS(database!$G$2:$G$1002,A37,database!$C$2:$C$1002,"S")+COUNTIFS(database!$J$2:$J$1002,A37,database!$C$2:$C$1002,"S")+COUNTIFS(database!$M$2:$M$1002,A37,database!$C$2:$C$1002,"S")</f>
        <v>1</v>
      </c>
      <c r="E37" s="23">
        <f>D37/SUM($D$2:$D$101)*3</f>
        <v>1.7543859649122806E-2</v>
      </c>
    </row>
    <row r="38" spans="1:5" x14ac:dyDescent="0.15">
      <c r="A38" s="16" t="s">
        <v>573</v>
      </c>
      <c r="B38" s="12">
        <f>COUNTIFS(database!$G$2:$G$1002,A38,database!$C$2:$C$1002,"S")</f>
        <v>0</v>
      </c>
      <c r="C38" s="12">
        <f>COUNTIFS(database!$J$2:$J$1002,A38,database!$C$2:$C$1002,"S")+COUNTIFS(database!$M$2:$M$1002,A38,database!$C$2:$C$1002,"S")</f>
        <v>1</v>
      </c>
      <c r="D38" s="13">
        <f>COUNTIFS(database!$G$2:$G$1002,A38,database!$C$2:$C$1002,"S")+COUNTIFS(database!$J$2:$J$1002,A38,database!$C$2:$C$1002,"S")+COUNTIFS(database!$M$2:$M$1002,A38,database!$C$2:$C$1002,"S")</f>
        <v>1</v>
      </c>
      <c r="E38" s="23">
        <f>D38/SUM($D$2:$D$101)*3</f>
        <v>1.7543859649122806E-2</v>
      </c>
    </row>
    <row r="39" spans="1:5" x14ac:dyDescent="0.15">
      <c r="A39" s="16" t="s">
        <v>316</v>
      </c>
      <c r="B39" s="12">
        <f>COUNTIFS(database!$G$2:$G$1002,A39,database!$C$2:$C$1002,"S")</f>
        <v>0</v>
      </c>
      <c r="C39" s="12">
        <f>COUNTIFS(database!$J$2:$J$1002,A39,database!$C$2:$C$1002,"S")+COUNTIFS(database!$M$2:$M$1002,A39,database!$C$2:$C$1002,"S")</f>
        <v>1</v>
      </c>
      <c r="D39" s="13">
        <f>COUNTIFS(database!$G$2:$G$1002,A39,database!$C$2:$C$1002,"S")+COUNTIFS(database!$J$2:$J$1002,A39,database!$C$2:$C$1002,"S")+COUNTIFS(database!$M$2:$M$1002,A39,database!$C$2:$C$1002,"S")</f>
        <v>1</v>
      </c>
      <c r="E39" s="23">
        <f>D39/SUM($D$2:$D$101)*3</f>
        <v>1.7543859649122806E-2</v>
      </c>
    </row>
    <row r="40" spans="1:5" x14ac:dyDescent="0.15">
      <c r="A40" s="16" t="s">
        <v>345</v>
      </c>
      <c r="B40" s="12">
        <f>COUNTIFS(database!$G$2:$G$1002,A40,database!$C$2:$C$1002,"S")</f>
        <v>0</v>
      </c>
      <c r="C40" s="12">
        <f>COUNTIFS(database!$J$2:$J$1002,A40,database!$C$2:$C$1002,"S")+COUNTIFS(database!$M$2:$M$1002,A40,database!$C$2:$C$1002,"S")</f>
        <v>1</v>
      </c>
      <c r="D40" s="13">
        <f>COUNTIFS(database!$G$2:$G$1002,A40,database!$C$2:$C$1002,"S")+COUNTIFS(database!$J$2:$J$1002,A40,database!$C$2:$C$1002,"S")+COUNTIFS(database!$M$2:$M$1002,A40,database!$C$2:$C$1002,"S")</f>
        <v>1</v>
      </c>
      <c r="E40" s="23">
        <f>D40/SUM($D$2:$D$101)*3</f>
        <v>1.7543859649122806E-2</v>
      </c>
    </row>
    <row r="41" spans="1:5" x14ac:dyDescent="0.15">
      <c r="A41" s="16" t="s">
        <v>108</v>
      </c>
      <c r="B41" s="12">
        <f>COUNTIFS(database!$G$2:$G$1002,A41,database!$C$2:$C$1002,"S")</f>
        <v>0</v>
      </c>
      <c r="C41" s="12">
        <f>COUNTIFS(database!$J$2:$J$1002,A41,database!$C$2:$C$1002,"S")+COUNTIFS(database!$M$2:$M$1002,A41,database!$C$2:$C$1002,"S")</f>
        <v>1</v>
      </c>
      <c r="D41" s="13">
        <f>COUNTIFS(database!$G$2:$G$1002,A41,database!$C$2:$C$1002,"S")+COUNTIFS(database!$J$2:$J$1002,A41,database!$C$2:$C$1002,"S")+COUNTIFS(database!$M$2:$M$1002,A41,database!$C$2:$C$1002,"S")</f>
        <v>1</v>
      </c>
      <c r="E41" s="23">
        <f>D41/SUM($D$2:$D$101)*3</f>
        <v>1.7543859649122806E-2</v>
      </c>
    </row>
    <row r="42" spans="1:5" x14ac:dyDescent="0.15">
      <c r="A42" s="16" t="s">
        <v>116</v>
      </c>
      <c r="B42" s="12">
        <f>COUNTIFS(database!$G$2:$G$1002,A42,database!$C$2:$C$1002,"S")</f>
        <v>0</v>
      </c>
      <c r="C42" s="12">
        <f>COUNTIFS(database!$J$2:$J$1002,A42,database!$C$2:$C$1002,"S")+COUNTIFS(database!$M$2:$M$1002,A42,database!$C$2:$C$1002,"S")</f>
        <v>1</v>
      </c>
      <c r="D42" s="13">
        <f>COUNTIFS(database!$G$2:$G$1002,A42,database!$C$2:$C$1002,"S")+COUNTIFS(database!$J$2:$J$1002,A42,database!$C$2:$C$1002,"S")+COUNTIFS(database!$M$2:$M$1002,A42,database!$C$2:$C$1002,"S")</f>
        <v>1</v>
      </c>
      <c r="E42" s="23">
        <f>D42/SUM($D$2:$D$101)*3</f>
        <v>1.7543859649122806E-2</v>
      </c>
    </row>
    <row r="43" spans="1:5" x14ac:dyDescent="0.15">
      <c r="A43" s="16" t="s">
        <v>119</v>
      </c>
      <c r="B43" s="12">
        <f>COUNTIFS(database!$G$2:$G$1002,A43,database!$C$2:$C$1002,"S")</f>
        <v>0</v>
      </c>
      <c r="C43" s="12">
        <f>COUNTIFS(database!$J$2:$J$1002,A43,database!$C$2:$C$1002,"S")+COUNTIFS(database!$M$2:$M$1002,A43,database!$C$2:$C$1002,"S")</f>
        <v>1</v>
      </c>
      <c r="D43" s="13">
        <f>COUNTIFS(database!$G$2:$G$1002,A43,database!$C$2:$C$1002,"S")+COUNTIFS(database!$J$2:$J$1002,A43,database!$C$2:$C$1002,"S")+COUNTIFS(database!$M$2:$M$1002,A43,database!$C$2:$C$1002,"S")</f>
        <v>1</v>
      </c>
      <c r="E43" s="23">
        <f>D43/SUM($D$2:$D$101)*3</f>
        <v>1.7543859649122806E-2</v>
      </c>
    </row>
    <row r="44" spans="1:5" x14ac:dyDescent="0.15">
      <c r="A44" s="16" t="s">
        <v>133</v>
      </c>
      <c r="B44" s="12">
        <f>COUNTIFS(database!$G$2:$G$1002,A44,database!$C$2:$C$1002,"S")</f>
        <v>0</v>
      </c>
      <c r="C44" s="12">
        <f>COUNTIFS(database!$J$2:$J$1002,A44,database!$C$2:$C$1002,"S")+COUNTIFS(database!$M$2:$M$1002,A44,database!$C$2:$C$1002,"S")</f>
        <v>1</v>
      </c>
      <c r="D44" s="13">
        <f>COUNTIFS(database!$G$2:$G$1002,A44,database!$C$2:$C$1002,"S")+COUNTIFS(database!$J$2:$J$1002,A44,database!$C$2:$C$1002,"S")+COUNTIFS(database!$M$2:$M$1002,A44,database!$C$2:$C$1002,"S")</f>
        <v>1</v>
      </c>
      <c r="E44" s="23">
        <f>D44/SUM($D$2:$D$101)*3</f>
        <v>1.7543859649122806E-2</v>
      </c>
    </row>
    <row r="45" spans="1:5" x14ac:dyDescent="0.15">
      <c r="A45" s="16" t="s">
        <v>137</v>
      </c>
      <c r="B45" s="12">
        <f>COUNTIFS(database!$G$2:$G$1002,A45,database!$C$2:$C$1002,"S")</f>
        <v>0</v>
      </c>
      <c r="C45" s="12">
        <f>COUNTIFS(database!$J$2:$J$1002,A45,database!$C$2:$C$1002,"S")+COUNTIFS(database!$M$2:$M$1002,A45,database!$C$2:$C$1002,"S")</f>
        <v>1</v>
      </c>
      <c r="D45" s="13">
        <f>COUNTIFS(database!$G$2:$G$1002,A45,database!$C$2:$C$1002,"S")+COUNTIFS(database!$J$2:$J$1002,A45,database!$C$2:$C$1002,"S")+COUNTIFS(database!$M$2:$M$1002,A45,database!$C$2:$C$1002,"S")</f>
        <v>1</v>
      </c>
      <c r="E45" s="23">
        <f>D45/SUM($D$2:$D$101)*3</f>
        <v>1.7543859649122806E-2</v>
      </c>
    </row>
    <row r="46" spans="1:5" x14ac:dyDescent="0.15">
      <c r="A46" s="16" t="s">
        <v>161</v>
      </c>
      <c r="B46" s="12">
        <f>COUNTIFS(database!$G$2:$G$1002,A46,database!$C$2:$C$1002,"S")</f>
        <v>0</v>
      </c>
      <c r="C46" s="12">
        <f>COUNTIFS(database!$J$2:$J$1002,A46,database!$C$2:$C$1002,"S")+COUNTIFS(database!$M$2:$M$1002,A46,database!$C$2:$C$1002,"S")</f>
        <v>1</v>
      </c>
      <c r="D46" s="13">
        <f>COUNTIFS(database!$G$2:$G$1002,A46,database!$C$2:$C$1002,"S")+COUNTIFS(database!$J$2:$J$1002,A46,database!$C$2:$C$1002,"S")+COUNTIFS(database!$M$2:$M$1002,A46,database!$C$2:$C$1002,"S")</f>
        <v>1</v>
      </c>
      <c r="E46" s="23">
        <f>D46/SUM($D$2:$D$101)*3</f>
        <v>1.7543859649122806E-2</v>
      </c>
    </row>
    <row r="47" spans="1:5" x14ac:dyDescent="0.15">
      <c r="A47" s="16" t="s">
        <v>164</v>
      </c>
      <c r="B47" s="12">
        <f>COUNTIFS(database!$G$2:$G$1002,A47,database!$C$2:$C$1002,"S")</f>
        <v>0</v>
      </c>
      <c r="C47" s="12">
        <f>COUNTIFS(database!$J$2:$J$1002,A47,database!$C$2:$C$1002,"S")+COUNTIFS(database!$M$2:$M$1002,A47,database!$C$2:$C$1002,"S")</f>
        <v>1</v>
      </c>
      <c r="D47" s="13">
        <f>COUNTIFS(database!$G$2:$G$1002,A47,database!$C$2:$C$1002,"S")+COUNTIFS(database!$J$2:$J$1002,A47,database!$C$2:$C$1002,"S")+COUNTIFS(database!$M$2:$M$1002,A47,database!$C$2:$C$1002,"S")</f>
        <v>1</v>
      </c>
      <c r="E47" s="23">
        <f>D47/SUM($D$2:$D$101)*3</f>
        <v>1.7543859649122806E-2</v>
      </c>
    </row>
    <row r="48" spans="1:5" x14ac:dyDescent="0.15">
      <c r="A48" s="16" t="s">
        <v>165</v>
      </c>
      <c r="B48" s="12">
        <f>COUNTIFS(database!$G$2:$G$1002,A48,database!$C$2:$C$1002,"S")</f>
        <v>0</v>
      </c>
      <c r="C48" s="12">
        <f>COUNTIFS(database!$J$2:$J$1002,A48,database!$C$2:$C$1002,"S")+COUNTIFS(database!$M$2:$M$1002,A48,database!$C$2:$C$1002,"S")</f>
        <v>1</v>
      </c>
      <c r="D48" s="13">
        <f>COUNTIFS(database!$G$2:$G$1002,A48,database!$C$2:$C$1002,"S")+COUNTIFS(database!$J$2:$J$1002,A48,database!$C$2:$C$1002,"S")+COUNTIFS(database!$M$2:$M$1002,A48,database!$C$2:$C$1002,"S")</f>
        <v>1</v>
      </c>
      <c r="E48" s="23">
        <f>D48/SUM($D$2:$D$101)*3</f>
        <v>1.7543859649122806E-2</v>
      </c>
    </row>
    <row r="49" spans="1:5" x14ac:dyDescent="0.15">
      <c r="A49" s="16" t="s">
        <v>167</v>
      </c>
      <c r="B49" s="12">
        <f>COUNTIFS(database!$G$2:$G$1002,A49,database!$C$2:$C$1002,"S")</f>
        <v>0</v>
      </c>
      <c r="C49" s="12">
        <f>COUNTIFS(database!$J$2:$J$1002,A49,database!$C$2:$C$1002,"S")+COUNTIFS(database!$M$2:$M$1002,A49,database!$C$2:$C$1002,"S")</f>
        <v>1</v>
      </c>
      <c r="D49" s="13">
        <f>COUNTIFS(database!$G$2:$G$1002,A49,database!$C$2:$C$1002,"S")+COUNTIFS(database!$J$2:$J$1002,A49,database!$C$2:$C$1002,"S")+COUNTIFS(database!$M$2:$M$1002,A49,database!$C$2:$C$1002,"S")</f>
        <v>1</v>
      </c>
      <c r="E49" s="23">
        <f>D49/SUM($D$2:$D$101)*3</f>
        <v>1.7543859649122806E-2</v>
      </c>
    </row>
    <row r="50" spans="1:5" x14ac:dyDescent="0.15">
      <c r="A50" s="16" t="s">
        <v>169</v>
      </c>
      <c r="B50" s="12">
        <f>COUNTIFS(database!$G$2:$G$1002,A50,database!$C$2:$C$1002,"S")</f>
        <v>0</v>
      </c>
      <c r="C50" s="12">
        <f>COUNTIFS(database!$J$2:$J$1002,A50,database!$C$2:$C$1002,"S")+COUNTIFS(database!$M$2:$M$1002,A50,database!$C$2:$C$1002,"S")</f>
        <v>1</v>
      </c>
      <c r="D50" s="13">
        <f>COUNTIFS(database!$G$2:$G$1002,A50,database!$C$2:$C$1002,"S")+COUNTIFS(database!$J$2:$J$1002,A50,database!$C$2:$C$1002,"S")+COUNTIFS(database!$M$2:$M$1002,A50,database!$C$2:$C$1002,"S")</f>
        <v>1</v>
      </c>
      <c r="E50" s="23">
        <f>D50/SUM($D$2:$D$101)*3</f>
        <v>1.7543859649122806E-2</v>
      </c>
    </row>
    <row r="51" spans="1:5" x14ac:dyDescent="0.15">
      <c r="A51" s="16" t="s">
        <v>172</v>
      </c>
      <c r="B51" s="12">
        <f>COUNTIFS(database!$G$2:$G$1002,A51,database!$C$2:$C$1002,"S")</f>
        <v>0</v>
      </c>
      <c r="C51" s="12">
        <f>COUNTIFS(database!$J$2:$J$1002,A51,database!$C$2:$C$1002,"S")+COUNTIFS(database!$M$2:$M$1002,A51,database!$C$2:$C$1002,"S")</f>
        <v>1</v>
      </c>
      <c r="D51" s="13">
        <f>COUNTIFS(database!$G$2:$G$1002,A51,database!$C$2:$C$1002,"S")+COUNTIFS(database!$J$2:$J$1002,A51,database!$C$2:$C$1002,"S")+COUNTIFS(database!$M$2:$M$1002,A51,database!$C$2:$C$1002,"S")</f>
        <v>1</v>
      </c>
      <c r="E51" s="23">
        <f>D51/SUM($D$2:$D$101)*3</f>
        <v>1.7543859649122806E-2</v>
      </c>
    </row>
    <row r="52" spans="1:5" x14ac:dyDescent="0.15">
      <c r="A52" s="16" t="s">
        <v>173</v>
      </c>
      <c r="B52" s="12">
        <f>COUNTIFS(database!$G$2:$G$1002,A52,database!$C$2:$C$1002,"S")</f>
        <v>0</v>
      </c>
      <c r="C52" s="12">
        <f>COUNTIFS(database!$J$2:$J$1002,A52,database!$C$2:$C$1002,"S")+COUNTIFS(database!$M$2:$M$1002,A52,database!$C$2:$C$1002,"S")</f>
        <v>1</v>
      </c>
      <c r="D52" s="13">
        <f>COUNTIFS(database!$G$2:$G$1002,A52,database!$C$2:$C$1002,"S")+COUNTIFS(database!$J$2:$J$1002,A52,database!$C$2:$C$1002,"S")+COUNTIFS(database!$M$2:$M$1002,A52,database!$C$2:$C$1002,"S")</f>
        <v>1</v>
      </c>
      <c r="E52" s="23">
        <f>D52/SUM($D$2:$D$101)*3</f>
        <v>1.7543859649122806E-2</v>
      </c>
    </row>
    <row r="53" spans="1:5" x14ac:dyDescent="0.15">
      <c r="A53" s="16" t="s">
        <v>175</v>
      </c>
      <c r="B53" s="12">
        <f>COUNTIFS(database!$G$2:$G$1002,A53,database!$C$2:$C$1002,"S")</f>
        <v>0</v>
      </c>
      <c r="C53" s="12">
        <f>COUNTIFS(database!$J$2:$J$1002,A53,database!$C$2:$C$1002,"S")+COUNTIFS(database!$M$2:$M$1002,A53,database!$C$2:$C$1002,"S")</f>
        <v>1</v>
      </c>
      <c r="D53" s="13">
        <f>COUNTIFS(database!$G$2:$G$1002,A53,database!$C$2:$C$1002,"S")+COUNTIFS(database!$J$2:$J$1002,A53,database!$C$2:$C$1002,"S")+COUNTIFS(database!$M$2:$M$1002,A53,database!$C$2:$C$1002,"S")</f>
        <v>1</v>
      </c>
      <c r="E53" s="23">
        <f>D53/SUM($D$2:$D$101)*3</f>
        <v>1.7543859649122806E-2</v>
      </c>
    </row>
    <row r="54" spans="1:5" x14ac:dyDescent="0.15">
      <c r="A54" s="16" t="s">
        <v>176</v>
      </c>
      <c r="B54" s="12">
        <f>COUNTIFS(database!$G$2:$G$1002,A54,database!$C$2:$C$1002,"S")</f>
        <v>0</v>
      </c>
      <c r="C54" s="12">
        <f>COUNTIFS(database!$J$2:$J$1002,A54,database!$C$2:$C$1002,"S")+COUNTIFS(database!$M$2:$M$1002,A54,database!$C$2:$C$1002,"S")</f>
        <v>1</v>
      </c>
      <c r="D54" s="13">
        <f>COUNTIFS(database!$G$2:$G$1002,A54,database!$C$2:$C$1002,"S")+COUNTIFS(database!$J$2:$J$1002,A54,database!$C$2:$C$1002,"S")+COUNTIFS(database!$M$2:$M$1002,A54,database!$C$2:$C$1002,"S")</f>
        <v>1</v>
      </c>
      <c r="E54" s="23">
        <f>D54/SUM($D$2:$D$101)*3</f>
        <v>1.7543859649122806E-2</v>
      </c>
    </row>
    <row r="55" spans="1:5" x14ac:dyDescent="0.15">
      <c r="A55" s="16" t="s">
        <v>574</v>
      </c>
      <c r="B55" s="12">
        <f>COUNTIFS(database!$G$2:$G$1002,A55,database!$C$2:$C$1002,"S")</f>
        <v>0</v>
      </c>
      <c r="C55" s="12">
        <f>COUNTIFS(database!$J$2:$J$1002,A55,database!$C$2:$C$1002,"S")+COUNTIFS(database!$M$2:$M$1002,A55,database!$C$2:$C$1002,"S")</f>
        <v>0</v>
      </c>
      <c r="D55" s="13">
        <f>COUNTIFS(database!$G$2:$G$1002,A55,database!$C$2:$C$1002,"S")+COUNTIFS(database!$J$2:$J$1002,A55,database!$C$2:$C$1002,"S")+COUNTIFS(database!$M$2:$M$1002,A55,database!$C$2:$C$1002,"S")</f>
        <v>0</v>
      </c>
      <c r="E55" s="23">
        <f>D55/SUM($D$2:$D$101)*3</f>
        <v>0</v>
      </c>
    </row>
    <row r="56" spans="1:5" x14ac:dyDescent="0.15">
      <c r="A56" s="16"/>
      <c r="B56" s="12">
        <f>COUNTIFS(database!$G$2:$G$1002,A56,database!$C$2:$C$1002,"S")</f>
        <v>0</v>
      </c>
      <c r="C56" s="12">
        <f>COUNTIFS(database!$J$2:$J$1002,A56,database!$C$2:$C$1002,"S")+COUNTIFS(database!$M$2:$M$1002,A56,database!$C$2:$C$1002,"S")</f>
        <v>0</v>
      </c>
      <c r="D56" s="13">
        <f>COUNTIFS(database!$G$2:$G$1002,A56,database!$C$2:$C$1002,"S")+COUNTIFS(database!$J$2:$J$1002,A56,database!$C$2:$C$1002,"S")+COUNTIFS(database!$M$2:$M$1002,A56,database!$C$2:$C$1002,"S")</f>
        <v>0</v>
      </c>
      <c r="E56" s="23">
        <f>D56/SUM($D$2:$D$101)*3</f>
        <v>0</v>
      </c>
    </row>
    <row r="57" spans="1:5" x14ac:dyDescent="0.15">
      <c r="A57" s="16"/>
      <c r="B57" s="12">
        <f>COUNTIFS(database!$G$2:$G$1002,A57,database!$C$2:$C$1002,"S")</f>
        <v>0</v>
      </c>
      <c r="C57" s="12">
        <f>COUNTIFS(database!$J$2:$J$1002,A57,database!$C$2:$C$1002,"S")+COUNTIFS(database!$M$2:$M$1002,A57,database!$C$2:$C$1002,"S")</f>
        <v>0</v>
      </c>
      <c r="D57" s="13">
        <f>COUNTIFS(database!$G$2:$G$1002,A57,database!$C$2:$C$1002,"S")+COUNTIFS(database!$J$2:$J$1002,A57,database!$C$2:$C$1002,"S")+COUNTIFS(database!$M$2:$M$1002,A57,database!$C$2:$C$1002,"S")</f>
        <v>0</v>
      </c>
      <c r="E57" s="23">
        <f>D57/SUM($D$2:$D$101)*3</f>
        <v>0</v>
      </c>
    </row>
    <row r="58" spans="1:5" x14ac:dyDescent="0.15">
      <c r="A58" s="16"/>
      <c r="B58" s="12">
        <f>COUNTIFS(database!$G$2:$G$1002,A58,database!$C$2:$C$1002,"S")</f>
        <v>0</v>
      </c>
      <c r="C58" s="12">
        <f>COUNTIFS(database!$J$2:$J$1002,A58,database!$C$2:$C$1002,"S")+COUNTIFS(database!$M$2:$M$1002,A58,database!$C$2:$C$1002,"S")</f>
        <v>0</v>
      </c>
      <c r="D58" s="13">
        <f>COUNTIFS(database!$G$2:$G$1002,A58,database!$C$2:$C$1002,"S")+COUNTIFS(database!$J$2:$J$1002,A58,database!$C$2:$C$1002,"S")+COUNTIFS(database!$M$2:$M$1002,A58,database!$C$2:$C$1002,"S")</f>
        <v>0</v>
      </c>
      <c r="E58" s="23">
        <f>D58/SUM($D$2:$D$101)*3</f>
        <v>0</v>
      </c>
    </row>
    <row r="59" spans="1:5" x14ac:dyDescent="0.15">
      <c r="A59" s="16"/>
      <c r="B59" s="12">
        <f>COUNTIFS(database!$G$2:$G$1002,A59,database!$C$2:$C$1002,"S")</f>
        <v>0</v>
      </c>
      <c r="C59" s="12">
        <f>COUNTIFS(database!$J$2:$J$1002,A59,database!$C$2:$C$1002,"S")+COUNTIFS(database!$M$2:$M$1002,A59,database!$C$2:$C$1002,"S")</f>
        <v>0</v>
      </c>
      <c r="D59" s="13">
        <f>COUNTIFS(database!$G$2:$G$1002,A59,database!$C$2:$C$1002,"S")+COUNTIFS(database!$J$2:$J$1002,A59,database!$C$2:$C$1002,"S")+COUNTIFS(database!$M$2:$M$1002,A59,database!$C$2:$C$1002,"S")</f>
        <v>0</v>
      </c>
      <c r="E59" s="23">
        <f>D59/SUM($D$2:$D$101)*3</f>
        <v>0</v>
      </c>
    </row>
    <row r="60" spans="1:5" x14ac:dyDescent="0.15">
      <c r="A60" s="16"/>
      <c r="B60" s="12">
        <f>COUNTIFS(database!$G$2:$G$1002,A60,database!$C$2:$C$1002,"S")</f>
        <v>0</v>
      </c>
      <c r="C60" s="12">
        <f>COUNTIFS(database!$J$2:$J$1002,A60,database!$C$2:$C$1002,"S")+COUNTIFS(database!$M$2:$M$1002,A60,database!$C$2:$C$1002,"S")</f>
        <v>0</v>
      </c>
      <c r="D60" s="13">
        <f>COUNTIFS(database!$G$2:$G$1002,A60,database!$C$2:$C$1002,"S")+COUNTIFS(database!$J$2:$J$1002,A60,database!$C$2:$C$1002,"S")+COUNTIFS(database!$M$2:$M$1002,A60,database!$C$2:$C$1002,"S")</f>
        <v>0</v>
      </c>
      <c r="E60" s="23">
        <f>D60/SUM($D$2:$D$101)*3</f>
        <v>0</v>
      </c>
    </row>
    <row r="61" spans="1:5" x14ac:dyDescent="0.15">
      <c r="A61" s="16"/>
      <c r="B61" s="12">
        <f>COUNTIFS(database!$G$2:$G$1002,A61,database!$C$2:$C$1002,"S")</f>
        <v>0</v>
      </c>
      <c r="C61" s="12">
        <f>COUNTIFS(database!$J$2:$J$1002,A61,database!$C$2:$C$1002,"S")+COUNTIFS(database!$M$2:$M$1002,A61,database!$C$2:$C$1002,"S")</f>
        <v>0</v>
      </c>
      <c r="D61" s="13">
        <f>COUNTIFS(database!$G$2:$G$1002,A61,database!$C$2:$C$1002,"S")+COUNTIFS(database!$J$2:$J$1002,A61,database!$C$2:$C$1002,"S")+COUNTIFS(database!$M$2:$M$1002,A61,database!$C$2:$C$1002,"S")</f>
        <v>0</v>
      </c>
      <c r="E61" s="23">
        <f>D61/SUM($D$2:$D$101)*3</f>
        <v>0</v>
      </c>
    </row>
    <row r="62" spans="1:5" x14ac:dyDescent="0.15">
      <c r="A62" s="16"/>
      <c r="B62" s="12">
        <f>COUNTIFS(database!$G$2:$G$1002,A62,database!$C$2:$C$1002,"S")</f>
        <v>0</v>
      </c>
      <c r="C62" s="12">
        <f>COUNTIFS(database!$J$2:$J$1002,A62,database!$C$2:$C$1002,"S")+COUNTIFS(database!$M$2:$M$1002,A62,database!$C$2:$C$1002,"S")</f>
        <v>0</v>
      </c>
      <c r="D62" s="13">
        <f>COUNTIFS(database!$G$2:$G$1002,A62,database!$C$2:$C$1002,"S")+COUNTIFS(database!$J$2:$J$1002,A62,database!$C$2:$C$1002,"S")+COUNTIFS(database!$M$2:$M$1002,A62,database!$C$2:$C$1002,"S")</f>
        <v>0</v>
      </c>
      <c r="E62" s="23">
        <f>D62/SUM($D$2:$D$101)*3</f>
        <v>0</v>
      </c>
    </row>
    <row r="63" spans="1:5" x14ac:dyDescent="0.15">
      <c r="A63" s="16"/>
      <c r="B63" s="12">
        <f>COUNTIFS(database!$G$2:$G$1002,A63,database!$C$2:$C$1002,"S")</f>
        <v>0</v>
      </c>
      <c r="C63" s="12">
        <f>COUNTIFS(database!$J$2:$J$1002,A63,database!$C$2:$C$1002,"S")+COUNTIFS(database!$M$2:$M$1002,A63,database!$C$2:$C$1002,"S")</f>
        <v>0</v>
      </c>
      <c r="D63" s="13">
        <f>COUNTIFS(database!$G$2:$G$1002,A63,database!$C$2:$C$1002,"S")+COUNTIFS(database!$J$2:$J$1002,A63,database!$C$2:$C$1002,"S")+COUNTIFS(database!$M$2:$M$1002,A63,database!$C$2:$C$1002,"S")</f>
        <v>0</v>
      </c>
      <c r="E63" s="23">
        <f>D63/SUM($D$2:$D$101)*3</f>
        <v>0</v>
      </c>
    </row>
    <row r="64" spans="1:5" x14ac:dyDescent="0.15">
      <c r="A64" s="16"/>
      <c r="B64" s="12">
        <f>COUNTIFS(database!$G$2:$G$1002,A64,database!$C$2:$C$1002,"S")</f>
        <v>0</v>
      </c>
      <c r="C64" s="12">
        <f>COUNTIFS(database!$J$2:$J$1002,A64,database!$C$2:$C$1002,"S")+COUNTIFS(database!$M$2:$M$1002,A64,database!$C$2:$C$1002,"S")</f>
        <v>0</v>
      </c>
      <c r="D64" s="13">
        <f>COUNTIFS(database!$G$2:$G$1002,A64,database!$C$2:$C$1002,"S")+COUNTIFS(database!$J$2:$J$1002,A64,database!$C$2:$C$1002,"S")+COUNTIFS(database!$M$2:$M$1002,A64,database!$C$2:$C$1002,"S")</f>
        <v>0</v>
      </c>
      <c r="E64" s="23">
        <f>D64/SUM($D$2:$D$101)*3</f>
        <v>0</v>
      </c>
    </row>
    <row r="65" spans="1:5" x14ac:dyDescent="0.15">
      <c r="A65" s="16"/>
      <c r="B65" s="12">
        <f>COUNTIFS(database!$G$2:$G$1002,A65,database!$C$2:$C$1002,"S")</f>
        <v>0</v>
      </c>
      <c r="C65" s="12">
        <f>COUNTIFS(database!$J$2:$J$1002,A65,database!$C$2:$C$1002,"S")+COUNTIFS(database!$M$2:$M$1002,A65,database!$C$2:$C$1002,"S")</f>
        <v>0</v>
      </c>
      <c r="D65" s="13">
        <f>COUNTIFS(database!$G$2:$G$1002,A65,database!$C$2:$C$1002,"S")+COUNTIFS(database!$J$2:$J$1002,A65,database!$C$2:$C$1002,"S")+COUNTIFS(database!$M$2:$M$1002,A65,database!$C$2:$C$1002,"S")</f>
        <v>0</v>
      </c>
      <c r="E65" s="23">
        <f>D65/SUM($D$2:$D$101)*3</f>
        <v>0</v>
      </c>
    </row>
    <row r="66" spans="1:5" x14ac:dyDescent="0.15">
      <c r="A66" s="16"/>
      <c r="B66" s="12">
        <f>COUNTIFS(database!$G$2:$G$1002,A66,database!$C$2:$C$1002,"S")</f>
        <v>0</v>
      </c>
      <c r="C66" s="12">
        <f>COUNTIFS(database!$J$2:$J$1002,A66,database!$C$2:$C$1002,"S")+COUNTIFS(database!$M$2:$M$1002,A66,database!$C$2:$C$1002,"S")</f>
        <v>0</v>
      </c>
      <c r="D66" s="13">
        <f>COUNTIFS(database!$G$2:$G$1002,A66,database!$C$2:$C$1002,"S")+COUNTIFS(database!$J$2:$J$1002,A66,database!$C$2:$C$1002,"S")+COUNTIFS(database!$M$2:$M$1002,A66,database!$C$2:$C$1002,"S")</f>
        <v>0</v>
      </c>
      <c r="E66" s="23">
        <f>D66/SUM($D$2:$D$101)*3</f>
        <v>0</v>
      </c>
    </row>
    <row r="67" spans="1:5" x14ac:dyDescent="0.15">
      <c r="A67" s="16"/>
      <c r="B67" s="12">
        <f>COUNTIFS(database!$G$2:$G$1002,A67,database!$C$2:$C$1002,"S")</f>
        <v>0</v>
      </c>
      <c r="C67" s="12">
        <f>COUNTIFS(database!$J$2:$J$1002,A67,database!$C$2:$C$1002,"S")+COUNTIFS(database!$M$2:$M$1002,A67,database!$C$2:$C$1002,"S")</f>
        <v>0</v>
      </c>
      <c r="D67" s="13">
        <f>COUNTIFS(database!$G$2:$G$1002,A67,database!$C$2:$C$1002,"S")+COUNTIFS(database!$J$2:$J$1002,A67,database!$C$2:$C$1002,"S")+COUNTIFS(database!$M$2:$M$1002,A67,database!$C$2:$C$1002,"S")</f>
        <v>0</v>
      </c>
      <c r="E67" s="23">
        <f>D67/SUM($D$2:$D$101)*3</f>
        <v>0</v>
      </c>
    </row>
    <row r="68" spans="1:5" x14ac:dyDescent="0.15">
      <c r="A68" s="16"/>
      <c r="B68" s="12">
        <f>COUNTIFS(database!$G$2:$G$1002,A68,database!$C$2:$C$1002,"S")</f>
        <v>0</v>
      </c>
      <c r="C68" s="12">
        <f>COUNTIFS(database!$J$2:$J$1002,A68,database!$C$2:$C$1002,"S")+COUNTIFS(database!$M$2:$M$1002,A68,database!$C$2:$C$1002,"S")</f>
        <v>0</v>
      </c>
      <c r="D68" s="13">
        <f>COUNTIFS(database!$G$2:$G$1002,A68,database!$C$2:$C$1002,"S")+COUNTIFS(database!$J$2:$J$1002,A68,database!$C$2:$C$1002,"S")+COUNTIFS(database!$M$2:$M$1002,A68,database!$C$2:$C$1002,"S")</f>
        <v>0</v>
      </c>
      <c r="E68" s="23">
        <f>D68/SUM($D$2:$D$101)*3</f>
        <v>0</v>
      </c>
    </row>
    <row r="69" spans="1:5" x14ac:dyDescent="0.15">
      <c r="A69" s="16"/>
      <c r="B69" s="12"/>
      <c r="C69" s="12"/>
      <c r="D69" s="13"/>
      <c r="E69" s="13"/>
    </row>
    <row r="70" spans="1:5" x14ac:dyDescent="0.15">
      <c r="A70" s="16"/>
      <c r="B70" s="12"/>
      <c r="C70" s="12"/>
      <c r="D70" s="13"/>
      <c r="E70" s="13"/>
    </row>
    <row r="71" spans="1:5" x14ac:dyDescent="0.15">
      <c r="A71" s="16"/>
      <c r="B71" s="12"/>
      <c r="C71" s="12"/>
      <c r="D71" s="13"/>
      <c r="E71" s="13"/>
    </row>
    <row r="72" spans="1:5" x14ac:dyDescent="0.15">
      <c r="A72" s="16"/>
      <c r="B72" s="12"/>
      <c r="C72" s="12"/>
      <c r="D72" s="13"/>
      <c r="E72" s="13"/>
    </row>
    <row r="73" spans="1:5" x14ac:dyDescent="0.15">
      <c r="A73" s="16"/>
      <c r="B73" s="12"/>
      <c r="C73" s="12"/>
      <c r="D73" s="13"/>
      <c r="E73" s="13"/>
    </row>
    <row r="74" spans="1:5" x14ac:dyDescent="0.15">
      <c r="A74" s="16"/>
      <c r="B74" s="12"/>
      <c r="C74" s="12"/>
      <c r="D74" s="13"/>
      <c r="E74" s="13"/>
    </row>
    <row r="75" spans="1:5" x14ac:dyDescent="0.15">
      <c r="A75" s="16"/>
      <c r="B75" s="12"/>
      <c r="C75" s="12"/>
      <c r="D75" s="13"/>
      <c r="E75" s="13"/>
    </row>
    <row r="76" spans="1:5" x14ac:dyDescent="0.15">
      <c r="A76" s="16"/>
      <c r="B76" s="12"/>
      <c r="C76" s="12"/>
      <c r="D76" s="13"/>
      <c r="E76" s="13"/>
    </row>
    <row r="77" spans="1:5" x14ac:dyDescent="0.15">
      <c r="A77" s="16"/>
      <c r="B77" s="12"/>
      <c r="C77" s="12"/>
      <c r="D77" s="13"/>
      <c r="E77" s="13"/>
    </row>
    <row r="78" spans="1:5" x14ac:dyDescent="0.15">
      <c r="A78" s="16"/>
      <c r="B78" s="12"/>
      <c r="C78" s="12"/>
      <c r="D78" s="13"/>
      <c r="E78" s="13"/>
    </row>
    <row r="79" spans="1:5" x14ac:dyDescent="0.15">
      <c r="A79" s="16"/>
      <c r="B79" s="12"/>
      <c r="C79" s="12"/>
      <c r="D79" s="13"/>
      <c r="E79" s="13"/>
    </row>
    <row r="80" spans="1:5" x14ac:dyDescent="0.15">
      <c r="A80" s="16"/>
      <c r="B80" s="12"/>
      <c r="C80" s="12"/>
      <c r="D80" s="13"/>
      <c r="E80" s="13"/>
    </row>
    <row r="81" spans="1:5" x14ac:dyDescent="0.15">
      <c r="A81" s="16"/>
      <c r="B81" s="12"/>
      <c r="C81" s="12"/>
      <c r="D81" s="13"/>
      <c r="E81" s="13"/>
    </row>
    <row r="82" spans="1:5" x14ac:dyDescent="0.15">
      <c r="A82" s="16"/>
      <c r="B82" s="12"/>
      <c r="C82" s="12"/>
      <c r="D82" s="13"/>
      <c r="E82" s="13"/>
    </row>
    <row r="83" spans="1:5" x14ac:dyDescent="0.15">
      <c r="A83" s="16"/>
      <c r="B83" s="12"/>
      <c r="C83" s="12"/>
      <c r="D83" s="13"/>
      <c r="E83" s="13"/>
    </row>
    <row r="84" spans="1:5" x14ac:dyDescent="0.15">
      <c r="A84" s="16"/>
      <c r="B84" s="12"/>
      <c r="C84" s="12"/>
      <c r="D84" s="13"/>
      <c r="E84" s="13"/>
    </row>
    <row r="85" spans="1:5" x14ac:dyDescent="0.15">
      <c r="A85" s="16"/>
      <c r="B85" s="12"/>
      <c r="C85" s="12"/>
      <c r="D85" s="13"/>
      <c r="E85" s="13"/>
    </row>
    <row r="86" spans="1:5" x14ac:dyDescent="0.15">
      <c r="A86" s="16"/>
      <c r="B86" s="12"/>
      <c r="C86" s="12"/>
      <c r="D86" s="13"/>
      <c r="E86" s="13"/>
    </row>
    <row r="87" spans="1:5" x14ac:dyDescent="0.15">
      <c r="A87" s="16"/>
      <c r="B87" s="12"/>
      <c r="C87" s="12"/>
      <c r="D87" s="13"/>
      <c r="E87" s="13"/>
    </row>
    <row r="88" spans="1:5" x14ac:dyDescent="0.15">
      <c r="A88" s="16"/>
      <c r="B88" s="12"/>
      <c r="C88" s="12"/>
      <c r="D88" s="13"/>
      <c r="E88" s="13"/>
    </row>
    <row r="89" spans="1:5" x14ac:dyDescent="0.15">
      <c r="A89" s="16"/>
      <c r="B89" s="12"/>
      <c r="C89" s="12"/>
      <c r="D89" s="13"/>
      <c r="E89" s="13"/>
    </row>
    <row r="90" spans="1:5" x14ac:dyDescent="0.15">
      <c r="A90" s="16"/>
      <c r="B90" s="12"/>
      <c r="C90" s="12"/>
      <c r="D90" s="13"/>
      <c r="E90" s="13"/>
    </row>
    <row r="91" spans="1:5" x14ac:dyDescent="0.15">
      <c r="A91" s="16"/>
      <c r="B91" s="12"/>
      <c r="C91" s="12"/>
      <c r="D91" s="13"/>
      <c r="E91" s="13"/>
    </row>
    <row r="92" spans="1:5" x14ac:dyDescent="0.15">
      <c r="A92" s="16"/>
      <c r="B92" s="12"/>
      <c r="C92" s="12"/>
      <c r="D92" s="13"/>
      <c r="E92" s="13"/>
    </row>
    <row r="93" spans="1:5" x14ac:dyDescent="0.15">
      <c r="A93" s="16"/>
      <c r="B93" s="12"/>
      <c r="C93" s="12"/>
      <c r="D93" s="13"/>
      <c r="E93" s="13"/>
    </row>
    <row r="94" spans="1:5" x14ac:dyDescent="0.15">
      <c r="A94" s="16"/>
      <c r="B94" s="12"/>
      <c r="C94" s="12"/>
      <c r="D94" s="13"/>
      <c r="E94" s="13"/>
    </row>
    <row r="95" spans="1:5" x14ac:dyDescent="0.15">
      <c r="A95" s="16"/>
      <c r="B95" s="12"/>
      <c r="C95" s="12"/>
      <c r="D95" s="13"/>
      <c r="E95" s="13"/>
    </row>
    <row r="96" spans="1:5" x14ac:dyDescent="0.15">
      <c r="A96" s="16"/>
      <c r="B96" s="12"/>
      <c r="C96" s="12"/>
      <c r="D96" s="13"/>
      <c r="E96" s="13"/>
    </row>
    <row r="97" spans="1:5" x14ac:dyDescent="0.15">
      <c r="A97" s="16"/>
      <c r="B97" s="12"/>
      <c r="C97" s="12"/>
      <c r="D97" s="13"/>
      <c r="E97" s="13"/>
    </row>
    <row r="98" spans="1:5" x14ac:dyDescent="0.15">
      <c r="A98" s="16"/>
      <c r="B98" s="12"/>
      <c r="C98" s="12"/>
      <c r="D98" s="13"/>
      <c r="E98" s="13"/>
    </row>
    <row r="99" spans="1:5" x14ac:dyDescent="0.15">
      <c r="A99" s="16"/>
      <c r="B99" s="12"/>
      <c r="C99" s="12"/>
      <c r="D99" s="13"/>
      <c r="E99" s="13"/>
    </row>
    <row r="100" spans="1:5" x14ac:dyDescent="0.15">
      <c r="A100" s="16"/>
      <c r="B100" s="12"/>
      <c r="C100" s="12"/>
      <c r="D100" s="13"/>
      <c r="E100" s="13"/>
    </row>
    <row r="101" spans="1:5" x14ac:dyDescent="0.15">
      <c r="A101" s="16"/>
      <c r="B101" s="12"/>
      <c r="C101" s="12"/>
      <c r="D101" s="13"/>
      <c r="E101" s="13"/>
    </row>
    <row r="102" spans="1:5" x14ac:dyDescent="0.15">
      <c r="A102" s="16"/>
      <c r="B102" s="12"/>
      <c r="C102" s="12"/>
      <c r="D102" s="13"/>
      <c r="E102" s="13"/>
    </row>
    <row r="103" spans="1:5" x14ac:dyDescent="0.15">
      <c r="A103" s="16"/>
      <c r="B103" s="12"/>
      <c r="C103" s="12"/>
      <c r="D103" s="13"/>
      <c r="E103" s="13"/>
    </row>
    <row r="104" spans="1:5" x14ac:dyDescent="0.15">
      <c r="A104" s="16"/>
      <c r="B104" s="12"/>
      <c r="C104" s="12"/>
      <c r="D104" s="13"/>
      <c r="E104" s="13"/>
    </row>
    <row r="105" spans="1:5" x14ac:dyDescent="0.15">
      <c r="A105" s="16"/>
      <c r="B105" s="12"/>
      <c r="C105" s="12"/>
      <c r="D105" s="13"/>
      <c r="E105" s="13"/>
    </row>
    <row r="106" spans="1:5" x14ac:dyDescent="0.15">
      <c r="A106" s="16"/>
      <c r="B106" s="12"/>
      <c r="C106" s="12"/>
      <c r="D106" s="13"/>
      <c r="E106" s="13"/>
    </row>
    <row r="107" spans="1:5" x14ac:dyDescent="0.15">
      <c r="A107" s="16"/>
      <c r="B107" s="12"/>
      <c r="C107" s="12"/>
      <c r="D107" s="13"/>
      <c r="E107" s="13"/>
    </row>
  </sheetData>
  <autoFilter ref="A1:E50">
    <sortState ref="A2:E68">
      <sortCondition descending="1" ref="E1:E50"/>
    </sortState>
  </autoFilter>
  <sortState ref="A2:E100">
    <sortCondition descending="1" ref="B2"/>
  </sortState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108"/>
  <sheetViews>
    <sheetView zoomScale="85" zoomScaleNormal="85" workbookViewId="0">
      <selection activeCell="E7" sqref="E7"/>
    </sheetView>
  </sheetViews>
  <sheetFormatPr defaultRowHeight="13.5" x14ac:dyDescent="0.15"/>
  <cols>
    <col min="1" max="1" width="17.625" style="22" customWidth="1"/>
    <col min="2" max="2" width="7.75" style="22" customWidth="1"/>
    <col min="3" max="3" width="6.5" style="22" customWidth="1"/>
    <col min="4" max="4" width="8.75" style="22" customWidth="1"/>
  </cols>
  <sheetData>
    <row r="1" spans="1:5" x14ac:dyDescent="0.15">
      <c r="A1" s="22" t="s">
        <v>380</v>
      </c>
      <c r="B1" s="10" t="s">
        <v>55</v>
      </c>
      <c r="C1" s="10" t="s">
        <v>56</v>
      </c>
      <c r="D1" s="11" t="s">
        <v>106</v>
      </c>
      <c r="E1" s="24" t="s">
        <v>177</v>
      </c>
    </row>
    <row r="2" spans="1:5" x14ac:dyDescent="0.15">
      <c r="A2" s="16" t="s">
        <v>290</v>
      </c>
      <c r="B2" s="12">
        <f>COUNTIFS(database!$G$2:$G$1002,A2,database!$C$2:$C$1002,"H")</f>
        <v>6</v>
      </c>
      <c r="C2" s="12">
        <f>COUNTIFS(database!$J$2:$J$1002,A2,database!$C$2:$C$1002,"H")+COUNTIFS(database!$M$2:$M$1002,A2,database!$C$2:$C$1002,"H")</f>
        <v>11</v>
      </c>
      <c r="D2" s="13">
        <f>COUNTIFS(database!$G$2:$G$1002,A2,database!$C$2:$C$1002,"H")+COUNTIFS(database!$J$2:$J$1002,A2,database!$C$2:$C$1002,"H")+COUNTIFS(database!$M$2:$M$1002,A2,database!$C$2:$C$1002,"H")</f>
        <v>17</v>
      </c>
      <c r="E2" s="23">
        <f>D2/SUM($D$2:$D$101)*3</f>
        <v>0.51</v>
      </c>
    </row>
    <row r="3" spans="1:5" x14ac:dyDescent="0.15">
      <c r="A3" s="16" t="s">
        <v>144</v>
      </c>
      <c r="B3" s="12">
        <f>COUNTIFS(database!$G$2:$G$1002,A3,database!$C$2:$C$1002,"H")</f>
        <v>5</v>
      </c>
      <c r="C3" s="12">
        <f>COUNTIFS(database!$J$2:$J$1002,A3,database!$C$2:$C$1002,"H")+COUNTIFS(database!$M$2:$M$1002,A3,database!$C$2:$C$1002,"H")</f>
        <v>5</v>
      </c>
      <c r="D3" s="13">
        <f>COUNTIFS(database!$G$2:$G$1002,A3,database!$C$2:$C$1002,"H")+COUNTIFS(database!$J$2:$J$1002,A3,database!$C$2:$C$1002,"H")+COUNTIFS(database!$M$2:$M$1002,A3,database!$C$2:$C$1002,"H")</f>
        <v>10</v>
      </c>
      <c r="E3" s="23">
        <f>D3/SUM($D$2:$D$101)*3</f>
        <v>0.30000000000000004</v>
      </c>
    </row>
    <row r="4" spans="1:5" x14ac:dyDescent="0.15">
      <c r="A4" s="16" t="s">
        <v>288</v>
      </c>
      <c r="B4" s="12">
        <f>COUNTIFS(database!$G$2:$G$1002,A4,database!$C$2:$C$1002,"H")</f>
        <v>3</v>
      </c>
      <c r="C4" s="12">
        <f>COUNTIFS(database!$J$2:$J$1002,A4,database!$C$2:$C$1002,"H")+COUNTIFS(database!$M$2:$M$1002,A4,database!$C$2:$C$1002,"H")</f>
        <v>4</v>
      </c>
      <c r="D4" s="13">
        <f>COUNTIFS(database!$G$2:$G$1002,A4,database!$C$2:$C$1002,"H")+COUNTIFS(database!$J$2:$J$1002,A4,database!$C$2:$C$1002,"H")+COUNTIFS(database!$M$2:$M$1002,A4,database!$C$2:$C$1002,"H")</f>
        <v>7</v>
      </c>
      <c r="E4" s="23">
        <f>D4/SUM($D$2:$D$101)*3</f>
        <v>0.21000000000000002</v>
      </c>
    </row>
    <row r="5" spans="1:5" x14ac:dyDescent="0.15">
      <c r="A5" s="16" t="s">
        <v>115</v>
      </c>
      <c r="B5" s="12">
        <f>COUNTIFS(database!$G$2:$G$1002,A5,database!$C$2:$C$1002,"H")</f>
        <v>2</v>
      </c>
      <c r="C5" s="12">
        <f>COUNTIFS(database!$J$2:$J$1002,A5,database!$C$2:$C$1002,"H")+COUNTIFS(database!$M$2:$M$1002,A5,database!$C$2:$C$1002,"H")</f>
        <v>5</v>
      </c>
      <c r="D5" s="13">
        <f>COUNTIFS(database!$G$2:$G$1002,A5,database!$C$2:$C$1002,"H")+COUNTIFS(database!$J$2:$J$1002,A5,database!$C$2:$C$1002,"H")+COUNTIFS(database!$M$2:$M$1002,A5,database!$C$2:$C$1002,"H")</f>
        <v>7</v>
      </c>
      <c r="E5" s="23">
        <f>D5/SUM($D$2:$D$101)*3</f>
        <v>0.21000000000000002</v>
      </c>
    </row>
    <row r="6" spans="1:5" x14ac:dyDescent="0.15">
      <c r="A6" s="16" t="s">
        <v>176</v>
      </c>
      <c r="B6" s="12">
        <f>COUNTIFS(database!$G$2:$G$1002,A6,database!$C$2:$C$1002,"H")</f>
        <v>2</v>
      </c>
      <c r="C6" s="12">
        <f>COUNTIFS(database!$J$2:$J$1002,A6,database!$C$2:$C$1002,"H")+COUNTIFS(database!$M$2:$M$1002,A6,database!$C$2:$C$1002,"H")</f>
        <v>2</v>
      </c>
      <c r="D6" s="13">
        <f>COUNTIFS(database!$G$2:$G$1002,A6,database!$C$2:$C$1002,"H")+COUNTIFS(database!$J$2:$J$1002,A6,database!$C$2:$C$1002,"H")+COUNTIFS(database!$M$2:$M$1002,A6,database!$C$2:$C$1002,"H")</f>
        <v>4</v>
      </c>
      <c r="E6" s="23">
        <f>D6/SUM($D$2:$D$101)*3</f>
        <v>0.12</v>
      </c>
    </row>
    <row r="7" spans="1:5" x14ac:dyDescent="0.15">
      <c r="A7" s="16" t="s">
        <v>524</v>
      </c>
      <c r="B7" s="12">
        <f>COUNTIFS(database!$G$2:$G$1002,A7,database!$C$2:$C$1002,"H")</f>
        <v>2</v>
      </c>
      <c r="C7" s="12">
        <f>COUNTIFS(database!$J$2:$J$1002,A7,database!$C$2:$C$1002,"H")+COUNTIFS(database!$M$2:$M$1002,A7,database!$C$2:$C$1002,"H")</f>
        <v>0</v>
      </c>
      <c r="D7" s="13">
        <f>COUNTIFS(database!$G$2:$G$1002,A7,database!$C$2:$C$1002,"H")+COUNTIFS(database!$J$2:$J$1002,A7,database!$C$2:$C$1002,"H")+COUNTIFS(database!$M$2:$M$1002,A7,database!$C$2:$C$1002,"H")</f>
        <v>2</v>
      </c>
      <c r="E7" s="23">
        <f>D7/SUM($D$2:$D$101)*3</f>
        <v>0.06</v>
      </c>
    </row>
    <row r="8" spans="1:5" x14ac:dyDescent="0.15">
      <c r="A8" s="16" t="s">
        <v>295</v>
      </c>
      <c r="B8" s="12">
        <f>COUNTIFS(database!$G$2:$G$1002,A8,database!$C$2:$C$1002,"H")</f>
        <v>1</v>
      </c>
      <c r="C8" s="12">
        <f>COUNTIFS(database!$J$2:$J$1002,A8,database!$C$2:$C$1002,"H")+COUNTIFS(database!$M$2:$M$1002,A8,database!$C$2:$C$1002,"H")</f>
        <v>4</v>
      </c>
      <c r="D8" s="13">
        <f>COUNTIFS(database!$G$2:$G$1002,A8,database!$C$2:$C$1002,"H")+COUNTIFS(database!$J$2:$J$1002,A8,database!$C$2:$C$1002,"H")+COUNTIFS(database!$M$2:$M$1002,A8,database!$C$2:$C$1002,"H")</f>
        <v>5</v>
      </c>
      <c r="E8" s="23">
        <f>D8/SUM($D$2:$D$101)*3</f>
        <v>0.15000000000000002</v>
      </c>
    </row>
    <row r="9" spans="1:5" x14ac:dyDescent="0.15">
      <c r="A9" s="16" t="s">
        <v>174</v>
      </c>
      <c r="B9" s="12">
        <f>COUNTIFS(database!$G$2:$G$1002,A9,database!$C$2:$C$1002,"H")</f>
        <v>1</v>
      </c>
      <c r="C9" s="12">
        <f>COUNTIFS(database!$J$2:$J$1002,A9,database!$C$2:$C$1002,"H")+COUNTIFS(database!$M$2:$M$1002,A9,database!$C$2:$C$1002,"H")</f>
        <v>3</v>
      </c>
      <c r="D9" s="13">
        <f>COUNTIFS(database!$G$2:$G$1002,A9,database!$C$2:$C$1002,"H")+COUNTIFS(database!$J$2:$J$1002,A9,database!$C$2:$C$1002,"H")+COUNTIFS(database!$M$2:$M$1002,A9,database!$C$2:$C$1002,"H")</f>
        <v>4</v>
      </c>
      <c r="E9" s="23">
        <f>D9/SUM($D$2:$D$101)*3</f>
        <v>0.12</v>
      </c>
    </row>
    <row r="10" spans="1:5" x14ac:dyDescent="0.15">
      <c r="A10" s="16" t="s">
        <v>132</v>
      </c>
      <c r="B10" s="12">
        <f>COUNTIFS(database!$G$2:$G$1002,A10,database!$C$2:$C$1002,"H")</f>
        <v>1</v>
      </c>
      <c r="C10" s="12">
        <f>COUNTIFS(database!$J$2:$J$1002,A10,database!$C$2:$C$1002,"H")+COUNTIFS(database!$M$2:$M$1002,A10,database!$C$2:$C$1002,"H")</f>
        <v>2</v>
      </c>
      <c r="D10" s="13">
        <f>COUNTIFS(database!$G$2:$G$1002,A10,database!$C$2:$C$1002,"H")+COUNTIFS(database!$J$2:$J$1002,A10,database!$C$2:$C$1002,"H")+COUNTIFS(database!$M$2:$M$1002,A10,database!$C$2:$C$1002,"H")</f>
        <v>3</v>
      </c>
      <c r="E10" s="23">
        <f>D10/SUM($D$2:$D$101)*3</f>
        <v>0.09</v>
      </c>
    </row>
    <row r="11" spans="1:5" x14ac:dyDescent="0.15">
      <c r="A11" s="16" t="s">
        <v>352</v>
      </c>
      <c r="B11" s="12">
        <f>COUNTIFS(database!$G$2:$G$1002,A11,database!$C$2:$C$1002,"H")</f>
        <v>1</v>
      </c>
      <c r="C11" s="12">
        <f>COUNTIFS(database!$J$2:$J$1002,A11,database!$C$2:$C$1002,"H")+COUNTIFS(database!$M$2:$M$1002,A11,database!$C$2:$C$1002,"H")</f>
        <v>1</v>
      </c>
      <c r="D11" s="13">
        <f>COUNTIFS(database!$G$2:$G$1002,A11,database!$C$2:$C$1002,"H")+COUNTIFS(database!$J$2:$J$1002,A11,database!$C$2:$C$1002,"H")+COUNTIFS(database!$M$2:$M$1002,A11,database!$C$2:$C$1002,"H")</f>
        <v>2</v>
      </c>
      <c r="E11" s="23">
        <f>D11/SUM($D$2:$D$101)*3</f>
        <v>0.06</v>
      </c>
    </row>
    <row r="12" spans="1:5" x14ac:dyDescent="0.15">
      <c r="A12" s="16" t="s">
        <v>307</v>
      </c>
      <c r="B12" s="12">
        <f>COUNTIFS(database!$G$2:$G$1002,A12,database!$C$2:$C$1002,"H")</f>
        <v>1</v>
      </c>
      <c r="C12" s="12">
        <f>COUNTIFS(database!$J$2:$J$1002,A12,database!$C$2:$C$1002,"H")+COUNTIFS(database!$M$2:$M$1002,A12,database!$C$2:$C$1002,"H")</f>
        <v>1</v>
      </c>
      <c r="D12" s="13">
        <f>COUNTIFS(database!$G$2:$G$1002,A12,database!$C$2:$C$1002,"H")+COUNTIFS(database!$J$2:$J$1002,A12,database!$C$2:$C$1002,"H")+COUNTIFS(database!$M$2:$M$1002,A12,database!$C$2:$C$1002,"H")</f>
        <v>2</v>
      </c>
      <c r="E12" s="23">
        <f>D12/SUM($D$2:$D$101)*3</f>
        <v>0.06</v>
      </c>
    </row>
    <row r="13" spans="1:5" x14ac:dyDescent="0.15">
      <c r="A13" s="16" t="s">
        <v>589</v>
      </c>
      <c r="B13" s="12">
        <f>COUNTIFS(database!$G$2:$G$1002,A13,database!$C$2:$C$1002,"H")</f>
        <v>1</v>
      </c>
      <c r="C13" s="12">
        <f>COUNTIFS(database!$J$2:$J$1002,A13,database!$C$2:$C$1002,"H")+COUNTIFS(database!$M$2:$M$1002,A13,database!$C$2:$C$1002,"H")</f>
        <v>1</v>
      </c>
      <c r="D13" s="13">
        <f>COUNTIFS(database!$G$2:$G$1002,A13,database!$C$2:$C$1002,"H")+COUNTIFS(database!$J$2:$J$1002,A13,database!$C$2:$C$1002,"H")+COUNTIFS(database!$M$2:$M$1002,A13,database!$C$2:$C$1002,"H")</f>
        <v>2</v>
      </c>
      <c r="E13" s="23">
        <f>D13/SUM($D$2:$D$101)*3</f>
        <v>0.06</v>
      </c>
    </row>
    <row r="14" spans="1:5" x14ac:dyDescent="0.15">
      <c r="A14" s="16" t="s">
        <v>324</v>
      </c>
      <c r="B14" s="12">
        <f>COUNTIFS(database!$G$2:$G$1002,A14,database!$C$2:$C$1002,"H")</f>
        <v>1</v>
      </c>
      <c r="C14" s="12">
        <f>COUNTIFS(database!$J$2:$J$1002,A14,database!$C$2:$C$1002,"H")+COUNTIFS(database!$M$2:$M$1002,A14,database!$C$2:$C$1002,"H")</f>
        <v>1</v>
      </c>
      <c r="D14" s="13">
        <f>COUNTIFS(database!$G$2:$G$1002,A14,database!$C$2:$C$1002,"H")+COUNTIFS(database!$J$2:$J$1002,A14,database!$C$2:$C$1002,"H")+COUNTIFS(database!$M$2:$M$1002,A14,database!$C$2:$C$1002,"H")</f>
        <v>2</v>
      </c>
      <c r="E14" s="23">
        <f>D14/SUM($D$2:$D$101)*3</f>
        <v>0.06</v>
      </c>
    </row>
    <row r="15" spans="1:5" x14ac:dyDescent="0.15">
      <c r="A15" s="16" t="s">
        <v>354</v>
      </c>
      <c r="B15" s="12">
        <f>COUNTIFS(database!$G$2:$G$1002,A15,database!$C$2:$C$1002,"H")</f>
        <v>1</v>
      </c>
      <c r="C15" s="12">
        <f>COUNTIFS(database!$J$2:$J$1002,A15,database!$C$2:$C$1002,"H")+COUNTIFS(database!$M$2:$M$1002,A15,database!$C$2:$C$1002,"H")</f>
        <v>1</v>
      </c>
      <c r="D15" s="13">
        <f>COUNTIFS(database!$G$2:$G$1002,A15,database!$C$2:$C$1002,"H")+COUNTIFS(database!$J$2:$J$1002,A15,database!$C$2:$C$1002,"H")+COUNTIFS(database!$M$2:$M$1002,A15,database!$C$2:$C$1002,"H")</f>
        <v>2</v>
      </c>
      <c r="E15" s="23">
        <f>D15/SUM($D$2:$D$101)*3</f>
        <v>0.06</v>
      </c>
    </row>
    <row r="16" spans="1:5" x14ac:dyDescent="0.15">
      <c r="A16" s="16" t="s">
        <v>131</v>
      </c>
      <c r="B16" s="12">
        <f>COUNTIFS(database!$G$2:$G$1002,A16,database!$C$2:$C$1002,"H")</f>
        <v>1</v>
      </c>
      <c r="C16" s="12">
        <f>COUNTIFS(database!$J$2:$J$1002,A16,database!$C$2:$C$1002,"H")+COUNTIFS(database!$M$2:$M$1002,A16,database!$C$2:$C$1002,"H")</f>
        <v>1</v>
      </c>
      <c r="D16" s="13">
        <f>COUNTIFS(database!$G$2:$G$1002,A16,database!$C$2:$C$1002,"H")+COUNTIFS(database!$J$2:$J$1002,A16,database!$C$2:$C$1002,"H")+COUNTIFS(database!$M$2:$M$1002,A16,database!$C$2:$C$1002,"H")</f>
        <v>2</v>
      </c>
      <c r="E16" s="23">
        <f>D16/SUM($D$2:$D$101)*3</f>
        <v>0.06</v>
      </c>
    </row>
    <row r="17" spans="1:5" x14ac:dyDescent="0.15">
      <c r="A17" s="16" t="s">
        <v>371</v>
      </c>
      <c r="B17" s="12">
        <f>COUNTIFS(database!$G$2:$G$1002,A17,database!$C$2:$C$1002,"H")</f>
        <v>1</v>
      </c>
      <c r="C17" s="12">
        <f>COUNTIFS(database!$J$2:$J$1002,A17,database!$C$2:$C$1002,"H")+COUNTIFS(database!$M$2:$M$1002,A17,database!$C$2:$C$1002,"H")</f>
        <v>0</v>
      </c>
      <c r="D17" s="13">
        <f>COUNTIFS(database!$G$2:$G$1002,A17,database!$C$2:$C$1002,"H")+COUNTIFS(database!$J$2:$J$1002,A17,database!$C$2:$C$1002,"H")+COUNTIFS(database!$M$2:$M$1002,A17,database!$C$2:$C$1002,"H")</f>
        <v>1</v>
      </c>
      <c r="E17" s="23">
        <f>D17/SUM($D$2:$D$101)*3</f>
        <v>0.03</v>
      </c>
    </row>
    <row r="18" spans="1:5" x14ac:dyDescent="0.15">
      <c r="A18" s="16" t="s">
        <v>395</v>
      </c>
      <c r="B18" s="12">
        <f>COUNTIFS(database!$G$2:$G$1002,A18,database!$C$2:$C$1002,"H")</f>
        <v>1</v>
      </c>
      <c r="C18" s="12">
        <f>COUNTIFS(database!$J$2:$J$1002,A18,database!$C$2:$C$1002,"H")+COUNTIFS(database!$M$2:$M$1002,A18,database!$C$2:$C$1002,"H")</f>
        <v>0</v>
      </c>
      <c r="D18" s="13">
        <f>COUNTIFS(database!$G$2:$G$1002,A18,database!$C$2:$C$1002,"H")+COUNTIFS(database!$J$2:$J$1002,A18,database!$C$2:$C$1002,"H")+COUNTIFS(database!$M$2:$M$1002,A18,database!$C$2:$C$1002,"H")</f>
        <v>1</v>
      </c>
      <c r="E18" s="23">
        <f>D18/SUM($D$2:$D$101)*3</f>
        <v>0.03</v>
      </c>
    </row>
    <row r="19" spans="1:5" x14ac:dyDescent="0.15">
      <c r="A19" s="16" t="s">
        <v>284</v>
      </c>
      <c r="B19" s="12">
        <f>COUNTIFS(database!$G$2:$G$1002,A19,database!$C$2:$C$1002,"H")</f>
        <v>1</v>
      </c>
      <c r="C19" s="12">
        <f>COUNTIFS(database!$J$2:$J$1002,A19,database!$C$2:$C$1002,"H")+COUNTIFS(database!$M$2:$M$1002,A19,database!$C$2:$C$1002,"H")</f>
        <v>0</v>
      </c>
      <c r="D19" s="13">
        <f>COUNTIFS(database!$G$2:$G$1002,A19,database!$C$2:$C$1002,"H")+COUNTIFS(database!$J$2:$J$1002,A19,database!$C$2:$C$1002,"H")+COUNTIFS(database!$M$2:$M$1002,A19,database!$C$2:$C$1002,"H")</f>
        <v>1</v>
      </c>
      <c r="E19" s="23">
        <f>D19/SUM($D$2:$D$101)*3</f>
        <v>0.03</v>
      </c>
    </row>
    <row r="20" spans="1:5" x14ac:dyDescent="0.15">
      <c r="A20" s="16" t="s">
        <v>446</v>
      </c>
      <c r="B20" s="12">
        <f>COUNTIFS(database!$G$2:$G$1002,A20,database!$C$2:$C$1002,"H")</f>
        <v>1</v>
      </c>
      <c r="C20" s="12">
        <f>COUNTIFS(database!$J$2:$J$1002,A20,database!$C$2:$C$1002,"H")+COUNTIFS(database!$M$2:$M$1002,A20,database!$C$2:$C$1002,"H")</f>
        <v>0</v>
      </c>
      <c r="D20" s="13">
        <f>COUNTIFS(database!$G$2:$G$1002,A20,database!$C$2:$C$1002,"H")+COUNTIFS(database!$J$2:$J$1002,A20,database!$C$2:$C$1002,"H")+COUNTIFS(database!$M$2:$M$1002,A20,database!$C$2:$C$1002,"H")</f>
        <v>1</v>
      </c>
      <c r="E20" s="23">
        <f>D20/SUM($D$2:$D$101)*3</f>
        <v>0.03</v>
      </c>
    </row>
    <row r="21" spans="1:5" x14ac:dyDescent="0.15">
      <c r="A21" s="16" t="s">
        <v>137</v>
      </c>
      <c r="B21" s="12">
        <f>COUNTIFS(database!$G$2:$G$1002,A21,database!$C$2:$C$1002,"H")</f>
        <v>1</v>
      </c>
      <c r="C21" s="12">
        <f>COUNTIFS(database!$J$2:$J$1002,A21,database!$C$2:$C$1002,"H")+COUNTIFS(database!$M$2:$M$1002,A21,database!$C$2:$C$1002,"H")</f>
        <v>0</v>
      </c>
      <c r="D21" s="13">
        <f>COUNTIFS(database!$G$2:$G$1002,A21,database!$C$2:$C$1002,"H")+COUNTIFS(database!$J$2:$J$1002,A21,database!$C$2:$C$1002,"H")+COUNTIFS(database!$M$2:$M$1002,A21,database!$C$2:$C$1002,"H")</f>
        <v>1</v>
      </c>
      <c r="E21" s="23">
        <f>D21/SUM($D$2:$D$101)*3</f>
        <v>0.03</v>
      </c>
    </row>
    <row r="22" spans="1:5" x14ac:dyDescent="0.15">
      <c r="A22" s="16" t="s">
        <v>292</v>
      </c>
      <c r="B22" s="12">
        <f>COUNTIFS(database!$G$2:$G$1002,A22,database!$C$2:$C$1002,"H")</f>
        <v>0</v>
      </c>
      <c r="C22" s="12">
        <f>COUNTIFS(database!$J$2:$J$1002,A22,database!$C$2:$C$1002,"H")+COUNTIFS(database!$M$2:$M$1002,A22,database!$C$2:$C$1002,"H")</f>
        <v>3</v>
      </c>
      <c r="D22" s="13">
        <f>COUNTIFS(database!$G$2:$G$1002,A22,database!$C$2:$C$1002,"H")+COUNTIFS(database!$J$2:$J$1002,A22,database!$C$2:$C$1002,"H")+COUNTIFS(database!$M$2:$M$1002,A22,database!$C$2:$C$1002,"H")</f>
        <v>3</v>
      </c>
      <c r="E22" s="23">
        <f>D22/SUM($D$2:$D$101)*3</f>
        <v>0.09</v>
      </c>
    </row>
    <row r="23" spans="1:5" x14ac:dyDescent="0.15">
      <c r="A23" s="16" t="s">
        <v>513</v>
      </c>
      <c r="B23" s="12">
        <f>COUNTIFS(database!$G$2:$G$1002,A23,database!$C$2:$C$1002,"H")</f>
        <v>0</v>
      </c>
      <c r="C23" s="12">
        <f>COUNTIFS(database!$J$2:$J$1002,A23,database!$C$2:$C$1002,"H")+COUNTIFS(database!$M$2:$M$1002,A23,database!$C$2:$C$1002,"H")</f>
        <v>2</v>
      </c>
      <c r="D23" s="13">
        <f>COUNTIFS(database!$G$2:$G$1002,A23,database!$C$2:$C$1002,"H")+COUNTIFS(database!$J$2:$J$1002,A23,database!$C$2:$C$1002,"H")+COUNTIFS(database!$M$2:$M$1002,A23,database!$C$2:$C$1002,"H")</f>
        <v>2</v>
      </c>
      <c r="E23" s="23">
        <f>D23/SUM($D$2:$D$101)*3</f>
        <v>0.06</v>
      </c>
    </row>
    <row r="24" spans="1:5" x14ac:dyDescent="0.15">
      <c r="A24" s="16" t="s">
        <v>465</v>
      </c>
      <c r="B24" s="12">
        <f>COUNTIFS(database!$G$2:$G$1002,A24,database!$C$2:$C$1002,"H")</f>
        <v>0</v>
      </c>
      <c r="C24" s="12">
        <f>COUNTIFS(database!$J$2:$J$1002,A24,database!$C$2:$C$1002,"H")+COUNTIFS(database!$M$2:$M$1002,A24,database!$C$2:$C$1002,"H")</f>
        <v>2</v>
      </c>
      <c r="D24" s="13">
        <f>COUNTIFS(database!$G$2:$G$1002,A24,database!$C$2:$C$1002,"H")+COUNTIFS(database!$J$2:$J$1002,A24,database!$C$2:$C$1002,"H")+COUNTIFS(database!$M$2:$M$1002,A24,database!$C$2:$C$1002,"H")</f>
        <v>2</v>
      </c>
      <c r="E24" s="23">
        <f>D24/SUM($D$2:$D$101)*3</f>
        <v>0.06</v>
      </c>
    </row>
    <row r="25" spans="1:5" x14ac:dyDescent="0.15">
      <c r="A25" s="16" t="s">
        <v>309</v>
      </c>
      <c r="B25" s="12">
        <f>COUNTIFS(database!$G$2:$G$1002,A25,database!$C$2:$C$1002,"H")</f>
        <v>0</v>
      </c>
      <c r="C25" s="12">
        <f>COUNTIFS(database!$J$2:$J$1002,A25,database!$C$2:$C$1002,"H")+COUNTIFS(database!$M$2:$M$1002,A25,database!$C$2:$C$1002,"H")</f>
        <v>1</v>
      </c>
      <c r="D25" s="13">
        <f>COUNTIFS(database!$G$2:$G$1002,A25,database!$C$2:$C$1002,"H")+COUNTIFS(database!$J$2:$J$1002,A25,database!$C$2:$C$1002,"H")+COUNTIFS(database!$M$2:$M$1002,A25,database!$C$2:$C$1002,"H")</f>
        <v>1</v>
      </c>
      <c r="E25" s="23">
        <f>D25/SUM($D$2:$D$101)*3</f>
        <v>0.03</v>
      </c>
    </row>
    <row r="26" spans="1:5" x14ac:dyDescent="0.15">
      <c r="A26" s="16" t="s">
        <v>314</v>
      </c>
      <c r="B26" s="12">
        <f>COUNTIFS(database!$G$2:$G$1002,A26,database!$C$2:$C$1002,"H")</f>
        <v>0</v>
      </c>
      <c r="C26" s="12">
        <f>COUNTIFS(database!$J$2:$J$1002,A26,database!$C$2:$C$1002,"H")+COUNTIFS(database!$M$2:$M$1002,A26,database!$C$2:$C$1002,"H")</f>
        <v>1</v>
      </c>
      <c r="D26" s="13">
        <f>COUNTIFS(database!$G$2:$G$1002,A26,database!$C$2:$C$1002,"H")+COUNTIFS(database!$J$2:$J$1002,A26,database!$C$2:$C$1002,"H")+COUNTIFS(database!$M$2:$M$1002,A26,database!$C$2:$C$1002,"H")</f>
        <v>1</v>
      </c>
      <c r="E26" s="23">
        <f>D26/SUM($D$2:$D$101)*3</f>
        <v>0.03</v>
      </c>
    </row>
    <row r="27" spans="1:5" x14ac:dyDescent="0.15">
      <c r="A27" s="16" t="s">
        <v>358</v>
      </c>
      <c r="B27" s="12">
        <f>COUNTIFS(database!$G$2:$G$1002,A27,database!$C$2:$C$1002,"H")</f>
        <v>0</v>
      </c>
      <c r="C27" s="12">
        <f>COUNTIFS(database!$J$2:$J$1002,A27,database!$C$2:$C$1002,"H")+COUNTIFS(database!$M$2:$M$1002,A27,database!$C$2:$C$1002,"H")</f>
        <v>1</v>
      </c>
      <c r="D27" s="13">
        <f>COUNTIFS(database!$G$2:$G$1002,A27,database!$C$2:$C$1002,"H")+COUNTIFS(database!$J$2:$J$1002,A27,database!$C$2:$C$1002,"H")+COUNTIFS(database!$M$2:$M$1002,A27,database!$C$2:$C$1002,"H")</f>
        <v>1</v>
      </c>
      <c r="E27" s="23">
        <f>D27/SUM($D$2:$D$101)*3</f>
        <v>0.03</v>
      </c>
    </row>
    <row r="28" spans="1:5" x14ac:dyDescent="0.15">
      <c r="A28" s="16" t="s">
        <v>360</v>
      </c>
      <c r="B28" s="12">
        <f>COUNTIFS(database!$G$2:$G$1002,A28,database!$C$2:$C$1002,"H")</f>
        <v>0</v>
      </c>
      <c r="C28" s="12">
        <f>COUNTIFS(database!$J$2:$J$1002,A28,database!$C$2:$C$1002,"H")+COUNTIFS(database!$M$2:$M$1002,A28,database!$C$2:$C$1002,"H")</f>
        <v>1</v>
      </c>
      <c r="D28" s="13">
        <f>COUNTIFS(database!$G$2:$G$1002,A28,database!$C$2:$C$1002,"H")+COUNTIFS(database!$J$2:$J$1002,A28,database!$C$2:$C$1002,"H")+COUNTIFS(database!$M$2:$M$1002,A28,database!$C$2:$C$1002,"H")</f>
        <v>1</v>
      </c>
      <c r="E28" s="23">
        <f>D28/SUM($D$2:$D$101)*3</f>
        <v>0.03</v>
      </c>
    </row>
    <row r="29" spans="1:5" x14ac:dyDescent="0.15">
      <c r="A29" s="16" t="s">
        <v>397</v>
      </c>
      <c r="B29" s="12">
        <f>COUNTIFS(database!$G$2:$G$1002,A29,database!$C$2:$C$1002,"H")</f>
        <v>0</v>
      </c>
      <c r="C29" s="12">
        <f>COUNTIFS(database!$J$2:$J$1002,A29,database!$C$2:$C$1002,"H")+COUNTIFS(database!$M$2:$M$1002,A29,database!$C$2:$C$1002,"H")</f>
        <v>1</v>
      </c>
      <c r="D29" s="13">
        <f>COUNTIFS(database!$G$2:$G$1002,A29,database!$C$2:$C$1002,"H")+COUNTIFS(database!$J$2:$J$1002,A29,database!$C$2:$C$1002,"H")+COUNTIFS(database!$M$2:$M$1002,A29,database!$C$2:$C$1002,"H")</f>
        <v>1</v>
      </c>
      <c r="E29" s="23">
        <f>D29/SUM($D$2:$D$101)*3</f>
        <v>0.03</v>
      </c>
    </row>
    <row r="30" spans="1:5" x14ac:dyDescent="0.15">
      <c r="A30" s="16" t="s">
        <v>399</v>
      </c>
      <c r="B30" s="12">
        <f>COUNTIFS(database!$G$2:$G$1002,A30,database!$C$2:$C$1002,"H")</f>
        <v>0</v>
      </c>
      <c r="C30" s="12">
        <f>COUNTIFS(database!$J$2:$J$1002,A30,database!$C$2:$C$1002,"H")+COUNTIFS(database!$M$2:$M$1002,A30,database!$C$2:$C$1002,"H")</f>
        <v>1</v>
      </c>
      <c r="D30" s="13">
        <f>COUNTIFS(database!$G$2:$G$1002,A30,database!$C$2:$C$1002,"H")+COUNTIFS(database!$J$2:$J$1002,A30,database!$C$2:$C$1002,"H")+COUNTIFS(database!$M$2:$M$1002,A30,database!$C$2:$C$1002,"H")</f>
        <v>1</v>
      </c>
      <c r="E30" s="23">
        <f>D30/SUM($D$2:$D$101)*3</f>
        <v>0.03</v>
      </c>
    </row>
    <row r="31" spans="1:5" x14ac:dyDescent="0.15">
      <c r="A31" s="16" t="s">
        <v>109</v>
      </c>
      <c r="B31" s="12">
        <f>COUNTIFS(database!$G$2:$G$1002,A31,database!$C$2:$C$1002,"H")</f>
        <v>0</v>
      </c>
      <c r="C31" s="12">
        <f>COUNTIFS(database!$J$2:$J$1002,A31,database!$C$2:$C$1002,"H")+COUNTIFS(database!$M$2:$M$1002,A31,database!$C$2:$C$1002,"H")</f>
        <v>1</v>
      </c>
      <c r="D31" s="13">
        <f>COUNTIFS(database!$G$2:$G$1002,A31,database!$C$2:$C$1002,"H")+COUNTIFS(database!$J$2:$J$1002,A31,database!$C$2:$C$1002,"H")+COUNTIFS(database!$M$2:$M$1002,A31,database!$C$2:$C$1002,"H")</f>
        <v>1</v>
      </c>
      <c r="E31" s="23">
        <f>D31/SUM($D$2:$D$101)*3</f>
        <v>0.03</v>
      </c>
    </row>
    <row r="32" spans="1:5" x14ac:dyDescent="0.15">
      <c r="A32" s="16" t="s">
        <v>301</v>
      </c>
      <c r="B32" s="12">
        <f>COUNTIFS(database!$G$2:$G$1002,A32,database!$C$2:$C$1002,"H")</f>
        <v>0</v>
      </c>
      <c r="C32" s="12">
        <f>COUNTIFS(database!$J$2:$J$1002,A32,database!$C$2:$C$1002,"H")+COUNTIFS(database!$M$2:$M$1002,A32,database!$C$2:$C$1002,"H")</f>
        <v>1</v>
      </c>
      <c r="D32" s="13">
        <f>COUNTIFS(database!$G$2:$G$1002,A32,database!$C$2:$C$1002,"H")+COUNTIFS(database!$J$2:$J$1002,A32,database!$C$2:$C$1002,"H")+COUNTIFS(database!$M$2:$M$1002,A32,database!$C$2:$C$1002,"H")</f>
        <v>1</v>
      </c>
      <c r="E32" s="23">
        <f>D32/SUM($D$2:$D$101)*3</f>
        <v>0.03</v>
      </c>
    </row>
    <row r="33" spans="1:5" x14ac:dyDescent="0.15">
      <c r="A33" s="16" t="s">
        <v>326</v>
      </c>
      <c r="B33" s="12">
        <f>COUNTIFS(database!$G$2:$G$1002,A33,database!$C$2:$C$1002,"H")</f>
        <v>0</v>
      </c>
      <c r="C33" s="12">
        <f>COUNTIFS(database!$J$2:$J$1002,A33,database!$C$2:$C$1002,"H")+COUNTIFS(database!$M$2:$M$1002,A33,database!$C$2:$C$1002,"H")</f>
        <v>1</v>
      </c>
      <c r="D33" s="13">
        <f>COUNTIFS(database!$G$2:$G$1002,A33,database!$C$2:$C$1002,"H")+COUNTIFS(database!$J$2:$J$1002,A33,database!$C$2:$C$1002,"H")+COUNTIFS(database!$M$2:$M$1002,A33,database!$C$2:$C$1002,"H")</f>
        <v>1</v>
      </c>
      <c r="E33" s="23">
        <f>D33/SUM($D$2:$D$101)*3</f>
        <v>0.03</v>
      </c>
    </row>
    <row r="34" spans="1:5" x14ac:dyDescent="0.15">
      <c r="A34" s="16" t="s">
        <v>448</v>
      </c>
      <c r="B34" s="12">
        <f>COUNTIFS(database!$G$2:$G$1002,A34,database!$C$2:$C$1002,"H")</f>
        <v>0</v>
      </c>
      <c r="C34" s="12">
        <f>COUNTIFS(database!$J$2:$J$1002,A34,database!$C$2:$C$1002,"H")+COUNTIFS(database!$M$2:$M$1002,A34,database!$C$2:$C$1002,"H")</f>
        <v>1</v>
      </c>
      <c r="D34" s="13">
        <f>COUNTIFS(database!$G$2:$G$1002,A34,database!$C$2:$C$1002,"H")+COUNTIFS(database!$J$2:$J$1002,A34,database!$C$2:$C$1002,"H")+COUNTIFS(database!$M$2:$M$1002,A34,database!$C$2:$C$1002,"H")</f>
        <v>1</v>
      </c>
      <c r="E34" s="23">
        <f>D34/SUM($D$2:$D$101)*3</f>
        <v>0.03</v>
      </c>
    </row>
    <row r="35" spans="1:5" x14ac:dyDescent="0.15">
      <c r="A35" s="16" t="s">
        <v>430</v>
      </c>
      <c r="B35" s="12">
        <f>COUNTIFS(database!$G$2:$G$1002,A35,database!$C$2:$C$1002,"H")</f>
        <v>0</v>
      </c>
      <c r="C35" s="12">
        <f>COUNTIFS(database!$J$2:$J$1002,A35,database!$C$2:$C$1002,"H")+COUNTIFS(database!$M$2:$M$1002,A35,database!$C$2:$C$1002,"H")</f>
        <v>1</v>
      </c>
      <c r="D35" s="13">
        <f>COUNTIFS(database!$G$2:$G$1002,A35,database!$C$2:$C$1002,"H")+COUNTIFS(database!$J$2:$J$1002,A35,database!$C$2:$C$1002,"H")+COUNTIFS(database!$M$2:$M$1002,A35,database!$C$2:$C$1002,"H")</f>
        <v>1</v>
      </c>
      <c r="E35" s="23">
        <f>D35/SUM($D$2:$D$101)*3</f>
        <v>0.03</v>
      </c>
    </row>
    <row r="36" spans="1:5" x14ac:dyDescent="0.15">
      <c r="A36" s="16" t="s">
        <v>166</v>
      </c>
      <c r="B36" s="12">
        <f>COUNTIFS(database!$G$2:$G$1002,A36,database!$C$2:$C$1002,"H")</f>
        <v>0</v>
      </c>
      <c r="C36" s="12">
        <f>COUNTIFS(database!$J$2:$J$1002,A36,database!$C$2:$C$1002,"H")+COUNTIFS(database!$M$2:$M$1002,A36,database!$C$2:$C$1002,"H")</f>
        <v>1</v>
      </c>
      <c r="D36" s="13">
        <f>COUNTIFS(database!$G$2:$G$1002,A36,database!$C$2:$C$1002,"H")+COUNTIFS(database!$J$2:$J$1002,A36,database!$C$2:$C$1002,"H")+COUNTIFS(database!$M$2:$M$1002,A36,database!$C$2:$C$1002,"H")</f>
        <v>1</v>
      </c>
      <c r="E36" s="23">
        <f>D36/SUM($D$2:$D$101)*3</f>
        <v>0.03</v>
      </c>
    </row>
    <row r="37" spans="1:5" x14ac:dyDescent="0.15">
      <c r="A37" s="16" t="s">
        <v>625</v>
      </c>
      <c r="B37" s="12">
        <f>COUNTIFS(database!$G$2:$G$1002,A37,database!$C$2:$C$1002,"H")</f>
        <v>0</v>
      </c>
      <c r="C37" s="12">
        <f>COUNTIFS(database!$J$2:$J$1002,A37,database!$C$2:$C$1002,"H")+COUNTIFS(database!$M$2:$M$1002,A37,database!$C$2:$C$1002,"H")</f>
        <v>1</v>
      </c>
      <c r="D37" s="13">
        <f>COUNTIFS(database!$G$2:$G$1002,A37,database!$C$2:$C$1002,"H")+COUNTIFS(database!$J$2:$J$1002,A37,database!$C$2:$C$1002,"H")+COUNTIFS(database!$M$2:$M$1002,A37,database!$C$2:$C$1002,"H")</f>
        <v>1</v>
      </c>
      <c r="E37" s="23">
        <f>D37/SUM($D$2:$D$101)*3</f>
        <v>0.03</v>
      </c>
    </row>
    <row r="38" spans="1:5" x14ac:dyDescent="0.15">
      <c r="A38" s="16" t="s">
        <v>573</v>
      </c>
      <c r="B38" s="12">
        <f>COUNTIFS(database!$G$2:$G$1002,A38,database!$C$2:$C$1002,"H")</f>
        <v>0</v>
      </c>
      <c r="C38" s="12">
        <f>COUNTIFS(database!$J$2:$J$1002,A38,database!$C$2:$C$1002,"H")+COUNTIFS(database!$M$2:$M$1002,A38,database!$C$2:$C$1002,"H")</f>
        <v>1</v>
      </c>
      <c r="D38" s="13">
        <f>COUNTIFS(database!$G$2:$G$1002,A38,database!$C$2:$C$1002,"H")+COUNTIFS(database!$J$2:$J$1002,A38,database!$C$2:$C$1002,"H")+COUNTIFS(database!$M$2:$M$1002,A38,database!$C$2:$C$1002,"H")</f>
        <v>1</v>
      </c>
      <c r="E38" s="23">
        <f>D38/SUM($D$2:$D$101)*3</f>
        <v>0.03</v>
      </c>
    </row>
    <row r="39" spans="1:5" x14ac:dyDescent="0.15">
      <c r="A39" s="16" t="s">
        <v>631</v>
      </c>
      <c r="B39" s="12">
        <f>COUNTIFS(database!$G$2:$G$1002,A39,database!$C$2:$C$1002,"H")</f>
        <v>0</v>
      </c>
      <c r="C39" s="12">
        <f>COUNTIFS(database!$J$2:$J$1002,A39,database!$C$2:$C$1002,"H")+COUNTIFS(database!$M$2:$M$1002,A39,database!$C$2:$C$1002,"H")</f>
        <v>1</v>
      </c>
      <c r="D39" s="13">
        <f>COUNTIFS(database!$G$2:$G$1002,A39,database!$C$2:$C$1002,"H")+COUNTIFS(database!$J$2:$J$1002,A39,database!$C$2:$C$1002,"H")+COUNTIFS(database!$M$2:$M$1002,A39,database!$C$2:$C$1002,"H")</f>
        <v>1</v>
      </c>
      <c r="E39" s="23">
        <f>D39/SUM($D$2:$D$101)*3</f>
        <v>0.03</v>
      </c>
    </row>
    <row r="40" spans="1:5" x14ac:dyDescent="0.15">
      <c r="A40" s="16" t="s">
        <v>636</v>
      </c>
      <c r="B40" s="12">
        <f>COUNTIFS(database!$G$2:$G$1002,A40,database!$C$2:$C$1002,"H")</f>
        <v>0</v>
      </c>
      <c r="C40" s="12">
        <f>COUNTIFS(database!$J$2:$J$1002,A40,database!$C$2:$C$1002,"H")+COUNTIFS(database!$M$2:$M$1002,A40,database!$C$2:$C$1002,"H")</f>
        <v>1</v>
      </c>
      <c r="D40" s="13">
        <f>COUNTIFS(database!$G$2:$G$1002,A40,database!$C$2:$C$1002,"H")+COUNTIFS(database!$J$2:$J$1002,A40,database!$C$2:$C$1002,"H")+COUNTIFS(database!$M$2:$M$1002,A40,database!$C$2:$C$1002,"H")</f>
        <v>1</v>
      </c>
      <c r="E40" s="23">
        <f>D40/SUM($D$2:$D$101)*3</f>
        <v>0.03</v>
      </c>
    </row>
    <row r="41" spans="1:5" x14ac:dyDescent="0.15">
      <c r="A41" s="16" t="s">
        <v>129</v>
      </c>
      <c r="B41" s="12">
        <f>COUNTIFS(database!$G$2:$G$1002,A41,database!$C$2:$C$1002,"H")</f>
        <v>0</v>
      </c>
      <c r="C41" s="12">
        <f>COUNTIFS(database!$J$2:$J$1002,A41,database!$C$2:$C$1002,"H")+COUNTIFS(database!$M$2:$M$1002,A41,database!$C$2:$C$1002,"H")</f>
        <v>1</v>
      </c>
      <c r="D41" s="13">
        <f>COUNTIFS(database!$G$2:$G$1002,A41,database!$C$2:$C$1002,"H")+COUNTIFS(database!$J$2:$J$1002,A41,database!$C$2:$C$1002,"H")+COUNTIFS(database!$M$2:$M$1002,A41,database!$C$2:$C$1002,"H")</f>
        <v>1</v>
      </c>
      <c r="E41" s="23">
        <f>D41/SUM($D$2:$D$101)*3</f>
        <v>0.03</v>
      </c>
    </row>
    <row r="42" spans="1:5" x14ac:dyDescent="0.15">
      <c r="A42" s="16" t="s">
        <v>525</v>
      </c>
      <c r="B42" s="12">
        <f>COUNTIFS(database!$G$2:$G$1002,A42,database!$C$2:$C$1002,"H")</f>
        <v>0</v>
      </c>
      <c r="C42" s="12">
        <f>COUNTIFS(database!$J$2:$J$1002,A42,database!$C$2:$C$1002,"H")+COUNTIFS(database!$M$2:$M$1002,A42,database!$C$2:$C$1002,"H")</f>
        <v>0</v>
      </c>
      <c r="D42" s="13">
        <f>COUNTIFS(database!$G$2:$G$1002,A42,database!$C$2:$C$1002,"H")+COUNTIFS(database!$J$2:$J$1002,A42,database!$C$2:$C$1002,"H")+COUNTIFS(database!$M$2:$M$1002,A42,database!$C$2:$C$1002,"H")</f>
        <v>0</v>
      </c>
      <c r="E42" s="23">
        <f>D42/SUM($D$2:$D$101)*3</f>
        <v>0</v>
      </c>
    </row>
    <row r="43" spans="1:5" x14ac:dyDescent="0.15">
      <c r="A43" s="16"/>
      <c r="B43" s="12">
        <f>COUNTIFS(database!$G$2:$G$1002,A43,database!$C$2:$C$1002,"H")</f>
        <v>0</v>
      </c>
      <c r="C43" s="12">
        <f>COUNTIFS(database!$J$2:$J$1002,A43,database!$C$2:$C$1002,"H")+COUNTIFS(database!$M$2:$M$1002,A43,database!$C$2:$C$1002,"H")</f>
        <v>0</v>
      </c>
      <c r="D43" s="13">
        <f>COUNTIFS(database!$G$2:$G$1002,A43,database!$C$2:$C$1002,"H")+COUNTIFS(database!$J$2:$J$1002,A43,database!$C$2:$C$1002,"H")+COUNTIFS(database!$M$2:$M$1002,A43,database!$C$2:$C$1002,"H")</f>
        <v>0</v>
      </c>
      <c r="E43" s="23">
        <f>D43/SUM($D$2:$D$101)*3</f>
        <v>0</v>
      </c>
    </row>
    <row r="44" spans="1:5" x14ac:dyDescent="0.15">
      <c r="A44" s="16"/>
      <c r="B44" s="12">
        <f>COUNTIFS(database!$G$2:$G$1002,A44,database!$C$2:$C$1002,"H")</f>
        <v>0</v>
      </c>
      <c r="C44" s="12">
        <f>COUNTIFS(database!$J$2:$J$1002,A44,database!$C$2:$C$1002,"H")+COUNTIFS(database!$M$2:$M$1002,A44,database!$C$2:$C$1002,"H")</f>
        <v>0</v>
      </c>
      <c r="D44" s="13">
        <f>COUNTIFS(database!$G$2:$G$1002,A44,database!$C$2:$C$1002,"H")+COUNTIFS(database!$J$2:$J$1002,A44,database!$C$2:$C$1002,"H")+COUNTIFS(database!$M$2:$M$1002,A44,database!$C$2:$C$1002,"H")</f>
        <v>0</v>
      </c>
      <c r="E44" s="23">
        <f>D44/SUM($D$2:$D$101)*3</f>
        <v>0</v>
      </c>
    </row>
    <row r="45" spans="1:5" x14ac:dyDescent="0.15">
      <c r="A45" s="16"/>
      <c r="B45" s="12">
        <f>COUNTIFS(database!$G$2:$G$1002,A45,database!$C$2:$C$1002,"H")</f>
        <v>0</v>
      </c>
      <c r="C45" s="12">
        <f>COUNTIFS(database!$J$2:$J$1002,A45,database!$C$2:$C$1002,"H")+COUNTIFS(database!$M$2:$M$1002,A45,database!$C$2:$C$1002,"H")</f>
        <v>0</v>
      </c>
      <c r="D45" s="13">
        <f>COUNTIFS(database!$G$2:$G$1002,A45,database!$C$2:$C$1002,"H")+COUNTIFS(database!$J$2:$J$1002,A45,database!$C$2:$C$1002,"H")+COUNTIFS(database!$M$2:$M$1002,A45,database!$C$2:$C$1002,"H")</f>
        <v>0</v>
      </c>
      <c r="E45" s="23">
        <f>D45/SUM($D$2:$D$101)*3</f>
        <v>0</v>
      </c>
    </row>
    <row r="46" spans="1:5" x14ac:dyDescent="0.15">
      <c r="A46" s="16"/>
      <c r="B46" s="12">
        <f>COUNTIFS(database!$G$2:$G$1002,A46,database!$C$2:$C$1002,"H")</f>
        <v>0</v>
      </c>
      <c r="C46" s="12">
        <f>COUNTIFS(database!$J$2:$J$1002,A46,database!$C$2:$C$1002,"H")+COUNTIFS(database!$M$2:$M$1002,A46,database!$C$2:$C$1002,"H")</f>
        <v>0</v>
      </c>
      <c r="D46" s="13">
        <f>COUNTIFS(database!$G$2:$G$1002,A46,database!$C$2:$C$1002,"H")+COUNTIFS(database!$J$2:$J$1002,A46,database!$C$2:$C$1002,"H")+COUNTIFS(database!$M$2:$M$1002,A46,database!$C$2:$C$1002,"H")</f>
        <v>0</v>
      </c>
      <c r="E46" s="23">
        <f>D46/SUM($D$2:$D$101)*3</f>
        <v>0</v>
      </c>
    </row>
    <row r="47" spans="1:5" x14ac:dyDescent="0.15">
      <c r="A47" s="16"/>
      <c r="B47" s="12">
        <f>COUNTIFS(database!$G$2:$G$1002,A47,database!$C$2:$C$1002,"H")</f>
        <v>0</v>
      </c>
      <c r="C47" s="12">
        <f>COUNTIFS(database!$J$2:$J$1002,A47,database!$C$2:$C$1002,"H")+COUNTIFS(database!$M$2:$M$1002,A47,database!$C$2:$C$1002,"H")</f>
        <v>0</v>
      </c>
      <c r="D47" s="13">
        <f>COUNTIFS(database!$G$2:$G$1002,A47,database!$C$2:$C$1002,"H")+COUNTIFS(database!$J$2:$J$1002,A47,database!$C$2:$C$1002,"H")+COUNTIFS(database!$M$2:$M$1002,A47,database!$C$2:$C$1002,"H")</f>
        <v>0</v>
      </c>
      <c r="E47" s="23">
        <f>D47/SUM($D$2:$D$101)*3</f>
        <v>0</v>
      </c>
    </row>
    <row r="48" spans="1:5" x14ac:dyDescent="0.15">
      <c r="A48" s="16"/>
      <c r="B48" s="12">
        <f>COUNTIFS(database!$G$2:$G$1002,A48,database!$C$2:$C$1002,"H")</f>
        <v>0</v>
      </c>
      <c r="C48" s="12">
        <f>COUNTIFS(database!$J$2:$J$1002,A48,database!$C$2:$C$1002,"H")+COUNTIFS(database!$M$2:$M$1002,A48,database!$C$2:$C$1002,"H")</f>
        <v>0</v>
      </c>
      <c r="D48" s="13">
        <f>COUNTIFS(database!$G$2:$G$1002,A48,database!$C$2:$C$1002,"H")+COUNTIFS(database!$J$2:$J$1002,A48,database!$C$2:$C$1002,"H")+COUNTIFS(database!$M$2:$M$1002,A48,database!$C$2:$C$1002,"H")</f>
        <v>0</v>
      </c>
      <c r="E48" s="23">
        <f>D48/SUM($D$2:$D$101)*3</f>
        <v>0</v>
      </c>
    </row>
    <row r="49" spans="1:5" x14ac:dyDescent="0.15">
      <c r="A49" s="16"/>
      <c r="B49" s="12">
        <f>COUNTIFS(database!$G$2:$G$1002,A49,database!$C$2:$C$1002,"H")</f>
        <v>0</v>
      </c>
      <c r="C49" s="12">
        <f>COUNTIFS(database!$J$2:$J$1002,A49,database!$C$2:$C$1002,"H")+COUNTIFS(database!$M$2:$M$1002,A49,database!$C$2:$C$1002,"H")</f>
        <v>0</v>
      </c>
      <c r="D49" s="13">
        <f>COUNTIFS(database!$G$2:$G$1002,A49,database!$C$2:$C$1002,"H")+COUNTIFS(database!$J$2:$J$1002,A49,database!$C$2:$C$1002,"H")+COUNTIFS(database!$M$2:$M$1002,A49,database!$C$2:$C$1002,"H")</f>
        <v>0</v>
      </c>
      <c r="E49" s="23">
        <f>D49/SUM($D$2:$D$101)*3</f>
        <v>0</v>
      </c>
    </row>
    <row r="50" spans="1:5" x14ac:dyDescent="0.15">
      <c r="A50" s="16"/>
      <c r="B50" s="12">
        <f>COUNTIFS(database!$G$2:$G$1002,A50,database!$C$2:$C$1002,"H")</f>
        <v>0</v>
      </c>
      <c r="C50" s="12">
        <f>COUNTIFS(database!$J$2:$J$1002,A50,database!$C$2:$C$1002,"H")+COUNTIFS(database!$M$2:$M$1002,A50,database!$C$2:$C$1002,"H")</f>
        <v>0</v>
      </c>
      <c r="D50" s="13">
        <f>COUNTIFS(database!$G$2:$G$1002,A50,database!$C$2:$C$1002,"H")+COUNTIFS(database!$J$2:$J$1002,A50,database!$C$2:$C$1002,"H")+COUNTIFS(database!$M$2:$M$1002,A50,database!$C$2:$C$1002,"H")</f>
        <v>0</v>
      </c>
      <c r="E50" s="23">
        <f>D50/SUM($D$2:$D$101)*3</f>
        <v>0</v>
      </c>
    </row>
    <row r="51" spans="1:5" x14ac:dyDescent="0.15">
      <c r="A51" s="16"/>
      <c r="B51" s="12">
        <f>COUNTIFS(database!$G$2:$G$1002,A51,database!$C$2:$C$1002,"H")</f>
        <v>0</v>
      </c>
      <c r="C51" s="12">
        <f>COUNTIFS(database!$J$2:$J$1002,A51,database!$C$2:$C$1002,"H")+COUNTIFS(database!$M$2:$M$1002,A51,database!$C$2:$C$1002,"H")</f>
        <v>0</v>
      </c>
      <c r="D51" s="13">
        <f>COUNTIFS(database!$G$2:$G$1002,A51,database!$C$2:$C$1002,"H")+COUNTIFS(database!$J$2:$J$1002,A51,database!$C$2:$C$1002,"H")+COUNTIFS(database!$M$2:$M$1002,A51,database!$C$2:$C$1002,"H")</f>
        <v>0</v>
      </c>
      <c r="E51" s="23">
        <f>D51/SUM($D$2:$D$101)*3</f>
        <v>0</v>
      </c>
    </row>
    <row r="52" spans="1:5" x14ac:dyDescent="0.15">
      <c r="A52" s="16"/>
      <c r="B52" s="12">
        <f>COUNTIFS(database!$G$2:$G$1002,A52,database!$C$2:$C$1002,"H")</f>
        <v>0</v>
      </c>
      <c r="C52" s="12">
        <f>COUNTIFS(database!$J$2:$J$1002,A52,database!$C$2:$C$1002,"H")+COUNTIFS(database!$M$2:$M$1002,A52,database!$C$2:$C$1002,"H")</f>
        <v>0</v>
      </c>
      <c r="D52" s="13">
        <f>COUNTIFS(database!$G$2:$G$1002,A52,database!$C$2:$C$1002,"H")+COUNTIFS(database!$J$2:$J$1002,A52,database!$C$2:$C$1002,"H")+COUNTIFS(database!$M$2:$M$1002,A52,database!$C$2:$C$1002,"H")</f>
        <v>0</v>
      </c>
      <c r="E52" s="23">
        <f>D52/SUM($D$2:$D$101)*3</f>
        <v>0</v>
      </c>
    </row>
    <row r="53" spans="1:5" x14ac:dyDescent="0.15">
      <c r="A53" s="16"/>
      <c r="B53" s="12">
        <f>COUNTIFS(database!$G$2:$G$1002,A53,database!$C$2:$C$1002,"H")</f>
        <v>0</v>
      </c>
      <c r="C53" s="12">
        <f>COUNTIFS(database!$J$2:$J$1002,A53,database!$C$2:$C$1002,"H")+COUNTIFS(database!$M$2:$M$1002,A53,database!$C$2:$C$1002,"H")</f>
        <v>0</v>
      </c>
      <c r="D53" s="13">
        <f>COUNTIFS(database!$G$2:$G$1002,A53,database!$C$2:$C$1002,"H")+COUNTIFS(database!$J$2:$J$1002,A53,database!$C$2:$C$1002,"H")+COUNTIFS(database!$M$2:$M$1002,A53,database!$C$2:$C$1002,"H")</f>
        <v>0</v>
      </c>
      <c r="E53" s="23">
        <f>D53/SUM($D$2:$D$101)*3</f>
        <v>0</v>
      </c>
    </row>
    <row r="54" spans="1:5" x14ac:dyDescent="0.15">
      <c r="A54" s="16"/>
      <c r="B54" s="12">
        <f>COUNTIFS(database!$G$2:$G$1002,A54,database!$C$2:$C$1002,"H")</f>
        <v>0</v>
      </c>
      <c r="C54" s="12">
        <f>COUNTIFS(database!$J$2:$J$1002,A54,database!$C$2:$C$1002,"H")+COUNTIFS(database!$M$2:$M$1002,A54,database!$C$2:$C$1002,"H")</f>
        <v>0</v>
      </c>
      <c r="D54" s="13">
        <f>COUNTIFS(database!$G$2:$G$1002,A54,database!$C$2:$C$1002,"H")+COUNTIFS(database!$J$2:$J$1002,A54,database!$C$2:$C$1002,"H")+COUNTIFS(database!$M$2:$M$1002,A54,database!$C$2:$C$1002,"H")</f>
        <v>0</v>
      </c>
      <c r="E54" s="23">
        <f>D54/SUM($D$2:$D$101)*3</f>
        <v>0</v>
      </c>
    </row>
    <row r="55" spans="1:5" x14ac:dyDescent="0.15">
      <c r="A55" s="16"/>
      <c r="B55" s="12">
        <f>COUNTIFS(database!$G$2:$G$1002,A55,database!$C$2:$C$1002,"H")</f>
        <v>0</v>
      </c>
      <c r="C55" s="12">
        <f>COUNTIFS(database!$J$2:$J$1002,A55,database!$C$2:$C$1002,"H")+COUNTIFS(database!$M$2:$M$1002,A55,database!$C$2:$C$1002,"H")</f>
        <v>0</v>
      </c>
      <c r="D55" s="13">
        <f>COUNTIFS(database!$G$2:$G$1002,A55,database!$C$2:$C$1002,"H")+COUNTIFS(database!$J$2:$J$1002,A55,database!$C$2:$C$1002,"H")+COUNTIFS(database!$M$2:$M$1002,A55,database!$C$2:$C$1002,"H")</f>
        <v>0</v>
      </c>
      <c r="E55" s="23">
        <f>D55/SUM($D$2:$D$101)*3</f>
        <v>0</v>
      </c>
    </row>
    <row r="56" spans="1:5" x14ac:dyDescent="0.15">
      <c r="A56" s="16"/>
      <c r="B56" s="12">
        <f>COUNTIFS(database!$G$2:$G$1002,A56,database!$C$2:$C$1002,"H")</f>
        <v>0</v>
      </c>
      <c r="C56" s="12">
        <f>COUNTIFS(database!$J$2:$J$1002,A56,database!$C$2:$C$1002,"H")+COUNTIFS(database!$M$2:$M$1002,A56,database!$C$2:$C$1002,"H")</f>
        <v>0</v>
      </c>
      <c r="D56" s="13">
        <f>COUNTIFS(database!$G$2:$G$1002,A56,database!$C$2:$C$1002,"H")+COUNTIFS(database!$J$2:$J$1002,A56,database!$C$2:$C$1002,"H")+COUNTIFS(database!$M$2:$M$1002,A56,database!$C$2:$C$1002,"H")</f>
        <v>0</v>
      </c>
      <c r="E56" s="23">
        <f>D56/SUM($D$2:$D$101)*3</f>
        <v>0</v>
      </c>
    </row>
    <row r="57" spans="1:5" x14ac:dyDescent="0.15">
      <c r="A57" s="16"/>
      <c r="B57" s="12">
        <f>COUNTIFS(database!$G$2:$G$1002,A57,database!$C$2:$C$1002,"H")</f>
        <v>0</v>
      </c>
      <c r="C57" s="12">
        <f>COUNTIFS(database!$J$2:$J$1002,A57,database!$C$2:$C$1002,"H")+COUNTIFS(database!$M$2:$M$1002,A57,database!$C$2:$C$1002,"H")</f>
        <v>0</v>
      </c>
      <c r="D57" s="13">
        <f>COUNTIFS(database!$G$2:$G$1002,A57,database!$C$2:$C$1002,"H")+COUNTIFS(database!$J$2:$J$1002,A57,database!$C$2:$C$1002,"H")+COUNTIFS(database!$M$2:$M$1002,A57,database!$C$2:$C$1002,"H")</f>
        <v>0</v>
      </c>
      <c r="E57" s="23">
        <f>D57/SUM($D$2:$D$101)*3</f>
        <v>0</v>
      </c>
    </row>
    <row r="58" spans="1:5" x14ac:dyDescent="0.15">
      <c r="A58" s="16"/>
      <c r="B58" s="12">
        <f>COUNTIFS(database!$G$2:$G$1002,A58,database!$C$2:$C$1002,"H")</f>
        <v>0</v>
      </c>
      <c r="C58" s="12">
        <f>COUNTIFS(database!$J$2:$J$1002,A58,database!$C$2:$C$1002,"H")+COUNTIFS(database!$M$2:$M$1002,A58,database!$C$2:$C$1002,"H")</f>
        <v>0</v>
      </c>
      <c r="D58" s="13">
        <f>COUNTIFS(database!$G$2:$G$1002,A58,database!$C$2:$C$1002,"H")+COUNTIFS(database!$J$2:$J$1002,A58,database!$C$2:$C$1002,"H")+COUNTIFS(database!$M$2:$M$1002,A58,database!$C$2:$C$1002,"H")</f>
        <v>0</v>
      </c>
      <c r="E58" s="23">
        <f>D58/SUM($D$2:$D$101)*3</f>
        <v>0</v>
      </c>
    </row>
    <row r="59" spans="1:5" x14ac:dyDescent="0.15">
      <c r="A59" s="16"/>
      <c r="B59" s="12">
        <f>COUNTIFS(database!$G$2:$G$1002,A59,database!$C$2:$C$1002,"H")</f>
        <v>0</v>
      </c>
      <c r="C59" s="12">
        <f>COUNTIFS(database!$J$2:$J$1002,A59,database!$C$2:$C$1002,"H")+COUNTIFS(database!$M$2:$M$1002,A59,database!$C$2:$C$1002,"H")</f>
        <v>0</v>
      </c>
      <c r="D59" s="13">
        <f>COUNTIFS(database!$G$2:$G$1002,A59,database!$C$2:$C$1002,"H")+COUNTIFS(database!$J$2:$J$1002,A59,database!$C$2:$C$1002,"H")+COUNTIFS(database!$M$2:$M$1002,A59,database!$C$2:$C$1002,"H")</f>
        <v>0</v>
      </c>
      <c r="E59" s="23">
        <f>D59/SUM($D$2:$D$101)*3</f>
        <v>0</v>
      </c>
    </row>
    <row r="60" spans="1:5" x14ac:dyDescent="0.15">
      <c r="A60" s="16"/>
      <c r="B60" s="12">
        <f>COUNTIFS(database!$G$2:$G$1002,A60,database!$C$2:$C$1002,"H")</f>
        <v>0</v>
      </c>
      <c r="C60" s="12">
        <f>COUNTIFS(database!$J$2:$J$1002,A60,database!$C$2:$C$1002,"H")+COUNTIFS(database!$M$2:$M$1002,A60,database!$C$2:$C$1002,"H")</f>
        <v>0</v>
      </c>
      <c r="D60" s="13">
        <f>COUNTIFS(database!$G$2:$G$1002,A60,database!$C$2:$C$1002,"H")+COUNTIFS(database!$J$2:$J$1002,A60,database!$C$2:$C$1002,"H")+COUNTIFS(database!$M$2:$M$1002,A60,database!$C$2:$C$1002,"H")</f>
        <v>0</v>
      </c>
      <c r="E60" s="23">
        <f>D60/SUM($D$2:$D$101)*3</f>
        <v>0</v>
      </c>
    </row>
    <row r="61" spans="1:5" x14ac:dyDescent="0.15">
      <c r="A61" s="16"/>
      <c r="B61" s="12">
        <f>COUNTIFS(database!$G$2:$G$1002,A61,database!$C$2:$C$1002,"H")</f>
        <v>0</v>
      </c>
      <c r="C61" s="12">
        <f>COUNTIFS(database!$J$2:$J$1002,A61,database!$C$2:$C$1002,"H")+COUNTIFS(database!$M$2:$M$1002,A61,database!$C$2:$C$1002,"H")</f>
        <v>0</v>
      </c>
      <c r="D61" s="13">
        <f>COUNTIFS(database!$G$2:$G$1002,A61,database!$C$2:$C$1002,"H")+COUNTIFS(database!$J$2:$J$1002,A61,database!$C$2:$C$1002,"H")+COUNTIFS(database!$M$2:$M$1002,A61,database!$C$2:$C$1002,"H")</f>
        <v>0</v>
      </c>
      <c r="E61" s="23">
        <f>D61/SUM($D$2:$D$101)*3</f>
        <v>0</v>
      </c>
    </row>
    <row r="62" spans="1:5" x14ac:dyDescent="0.15">
      <c r="A62" s="16"/>
      <c r="B62" s="12">
        <f>COUNTIFS(database!$G$2:$G$1002,A62,database!$C$2:$C$1002,"H")</f>
        <v>0</v>
      </c>
      <c r="C62" s="12">
        <f>COUNTIFS(database!$J$2:$J$1002,A62,database!$C$2:$C$1002,"H")+COUNTIFS(database!$M$2:$M$1002,A62,database!$C$2:$C$1002,"H")</f>
        <v>0</v>
      </c>
      <c r="D62" s="13">
        <f>COUNTIFS(database!$G$2:$G$1002,A62,database!$C$2:$C$1002,"H")+COUNTIFS(database!$J$2:$J$1002,A62,database!$C$2:$C$1002,"H")+COUNTIFS(database!$M$2:$M$1002,A62,database!$C$2:$C$1002,"H")</f>
        <v>0</v>
      </c>
      <c r="E62" s="23">
        <f>D62/SUM($D$2:$D$101)*3</f>
        <v>0</v>
      </c>
    </row>
    <row r="63" spans="1:5" x14ac:dyDescent="0.15">
      <c r="A63" s="16"/>
      <c r="B63" s="12">
        <f>COUNTIFS(database!$G$2:$G$1002,A63,database!$C$2:$C$1002,"H")</f>
        <v>0</v>
      </c>
      <c r="C63" s="12">
        <f>COUNTIFS(database!$J$2:$J$1002,A63,database!$C$2:$C$1002,"H")+COUNTIFS(database!$M$2:$M$1002,A63,database!$C$2:$C$1002,"H")</f>
        <v>0</v>
      </c>
      <c r="D63" s="13">
        <f>COUNTIFS(database!$G$2:$G$1002,A63,database!$C$2:$C$1002,"H")+COUNTIFS(database!$J$2:$J$1002,A63,database!$C$2:$C$1002,"H")+COUNTIFS(database!$M$2:$M$1002,A63,database!$C$2:$C$1002,"H")</f>
        <v>0</v>
      </c>
      <c r="E63" s="23">
        <f>D63/SUM($D$2:$D$101)*3</f>
        <v>0</v>
      </c>
    </row>
    <row r="64" spans="1:5" x14ac:dyDescent="0.15">
      <c r="A64" s="16"/>
      <c r="B64" s="12">
        <f>COUNTIFS(database!$G$2:$G$1002,A64,database!$C$2:$C$1002,"H")</f>
        <v>0</v>
      </c>
      <c r="C64" s="12">
        <f>COUNTIFS(database!$J$2:$J$1002,A64,database!$C$2:$C$1002,"H")+COUNTIFS(database!$M$2:$M$1002,A64,database!$C$2:$C$1002,"H")</f>
        <v>0</v>
      </c>
      <c r="D64" s="13">
        <f>COUNTIFS(database!$G$2:$G$1002,A64,database!$C$2:$C$1002,"H")+COUNTIFS(database!$J$2:$J$1002,A64,database!$C$2:$C$1002,"H")+COUNTIFS(database!$M$2:$M$1002,A64,database!$C$2:$C$1002,"H")</f>
        <v>0</v>
      </c>
      <c r="E64" s="23">
        <f>D64/SUM($D$2:$D$101)*3</f>
        <v>0</v>
      </c>
    </row>
    <row r="65" spans="1:5" x14ac:dyDescent="0.15">
      <c r="A65" s="16"/>
      <c r="B65" s="12">
        <f>COUNTIFS(database!$G$2:$G$1002,A65,database!$C$2:$C$1002,"H")</f>
        <v>0</v>
      </c>
      <c r="C65" s="12">
        <f>COUNTIFS(database!$J$2:$J$1002,A65,database!$C$2:$C$1002,"H")+COUNTIFS(database!$M$2:$M$1002,A65,database!$C$2:$C$1002,"H")</f>
        <v>0</v>
      </c>
      <c r="D65" s="13">
        <f>COUNTIFS(database!$G$2:$G$1002,A65,database!$C$2:$C$1002,"H")+COUNTIFS(database!$J$2:$J$1002,A65,database!$C$2:$C$1002,"H")+COUNTIFS(database!$M$2:$M$1002,A65,database!$C$2:$C$1002,"H")</f>
        <v>0</v>
      </c>
      <c r="E65" s="23">
        <f>D65/SUM($D$2:$D$101)*3</f>
        <v>0</v>
      </c>
    </row>
    <row r="66" spans="1:5" x14ac:dyDescent="0.15">
      <c r="A66" s="16"/>
      <c r="B66" s="12">
        <f>COUNTIFS(database!$G$2:$G$1002,A66,database!$C$2:$C$1002,"H")</f>
        <v>0</v>
      </c>
      <c r="C66" s="12">
        <f>COUNTIFS(database!$J$2:$J$1002,A66,database!$C$2:$C$1002,"H")+COUNTIFS(database!$M$2:$M$1002,A66,database!$C$2:$C$1002,"H")</f>
        <v>0</v>
      </c>
      <c r="D66" s="13">
        <f>COUNTIFS(database!$G$2:$G$1002,A66,database!$C$2:$C$1002,"H")+COUNTIFS(database!$J$2:$J$1002,A66,database!$C$2:$C$1002,"H")+COUNTIFS(database!$M$2:$M$1002,A66,database!$C$2:$C$1002,"H")</f>
        <v>0</v>
      </c>
      <c r="E66" s="23">
        <f>D66/SUM($D$2:$D$101)*3</f>
        <v>0</v>
      </c>
    </row>
    <row r="67" spans="1:5" x14ac:dyDescent="0.15">
      <c r="A67" s="16"/>
      <c r="B67" s="12">
        <f>COUNTIFS(database!$G$2:$G$1002,A67,database!$C$2:$C$1002,"H")</f>
        <v>0</v>
      </c>
      <c r="C67" s="12">
        <f>COUNTIFS(database!$J$2:$J$1002,A67,database!$C$2:$C$1002,"H")+COUNTIFS(database!$M$2:$M$1002,A67,database!$C$2:$C$1002,"H")</f>
        <v>0</v>
      </c>
      <c r="D67" s="13">
        <f>COUNTIFS(database!$G$2:$G$1002,A67,database!$C$2:$C$1002,"H")+COUNTIFS(database!$J$2:$J$1002,A67,database!$C$2:$C$1002,"H")+COUNTIFS(database!$M$2:$M$1002,A67,database!$C$2:$C$1002,"H")</f>
        <v>0</v>
      </c>
      <c r="E67" s="23">
        <f>D67/SUM($D$2:$D$101)*3</f>
        <v>0</v>
      </c>
    </row>
    <row r="68" spans="1:5" x14ac:dyDescent="0.15">
      <c r="A68" s="16"/>
      <c r="B68" s="12">
        <f>COUNTIFS(database!$G$2:$G$1002,A68,database!$C$2:$C$1002,"H")</f>
        <v>0</v>
      </c>
      <c r="C68" s="12">
        <f>COUNTIFS(database!$J$2:$J$1002,A68,database!$C$2:$C$1002,"H")+COUNTIFS(database!$M$2:$M$1002,A68,database!$C$2:$C$1002,"H")</f>
        <v>0</v>
      </c>
      <c r="D68" s="13">
        <f>COUNTIFS(database!$G$2:$G$1002,A68,database!$C$2:$C$1002,"H")+COUNTIFS(database!$J$2:$J$1002,A68,database!$C$2:$C$1002,"H")+COUNTIFS(database!$M$2:$M$1002,A68,database!$C$2:$C$1002,"H")</f>
        <v>0</v>
      </c>
      <c r="E68" s="23">
        <f>D68/SUM($D$2:$D$101)*3</f>
        <v>0</v>
      </c>
    </row>
    <row r="69" spans="1:5" x14ac:dyDescent="0.15">
      <c r="A69" s="16"/>
      <c r="B69" s="12">
        <f>COUNTIFS(database!$G$2:$G$1002,A69,database!$C$2:$C$1002,"H")</f>
        <v>0</v>
      </c>
      <c r="C69" s="12">
        <f>COUNTIFS(database!$J$2:$J$1002,A69,database!$C$2:$C$1002,"H")+COUNTIFS(database!$M$2:$M$1002,A69,database!$C$2:$C$1002,"H")</f>
        <v>0</v>
      </c>
      <c r="D69" s="13">
        <f>COUNTIFS(database!$G$2:$G$1002,A69,database!$C$2:$C$1002,"H")+COUNTIFS(database!$J$2:$J$1002,A69,database!$C$2:$C$1002,"H")+COUNTIFS(database!$M$2:$M$1002,A69,database!$C$2:$C$1002,"H")</f>
        <v>0</v>
      </c>
      <c r="E69" s="23">
        <f>D69/SUM($D$2:$D$101)*3</f>
        <v>0</v>
      </c>
    </row>
    <row r="70" spans="1:5" x14ac:dyDescent="0.15">
      <c r="A70" s="16"/>
      <c r="B70" s="12">
        <f>COUNTIFS(database!$G$2:$G$1002,A70,database!$C$2:$C$1002,"H")</f>
        <v>0</v>
      </c>
      <c r="C70" s="12">
        <f>COUNTIFS(database!$J$2:$J$1002,A70,database!$C$2:$C$1002,"H")+COUNTIFS(database!$M$2:$M$1002,A70,database!$C$2:$C$1002,"H")</f>
        <v>0</v>
      </c>
      <c r="D70" s="13">
        <f>COUNTIFS(database!$G$2:$G$1002,A70,database!$C$2:$C$1002,"H")+COUNTIFS(database!$J$2:$J$1002,A70,database!$C$2:$C$1002,"H")+COUNTIFS(database!$M$2:$M$1002,A70,database!$C$2:$C$1002,"H")</f>
        <v>0</v>
      </c>
      <c r="E70" s="23">
        <f>D70/SUM($D$2:$D$101)*3</f>
        <v>0</v>
      </c>
    </row>
    <row r="71" spans="1:5" x14ac:dyDescent="0.15">
      <c r="A71" s="16"/>
      <c r="B71" s="12">
        <f>COUNTIFS(database!$G$2:$G$1002,A71,database!$C$2:$C$1002,"H")</f>
        <v>0</v>
      </c>
      <c r="C71" s="12">
        <f>COUNTIFS(database!$J$2:$J$1002,A71,database!$C$2:$C$1002,"H")+COUNTIFS(database!$M$2:$M$1002,A71,database!$C$2:$C$1002,"H")</f>
        <v>0</v>
      </c>
      <c r="D71" s="13">
        <f>COUNTIFS(database!$G$2:$G$1002,A71,database!$C$2:$C$1002,"H")+COUNTIFS(database!$J$2:$J$1002,A71,database!$C$2:$C$1002,"H")+COUNTIFS(database!$M$2:$M$1002,A71,database!$C$2:$C$1002,"H")</f>
        <v>0</v>
      </c>
      <c r="E71" s="23">
        <f>D71/SUM($D$2:$D$101)*3</f>
        <v>0</v>
      </c>
    </row>
    <row r="72" spans="1:5" x14ac:dyDescent="0.15">
      <c r="A72" s="16"/>
      <c r="B72" s="12">
        <f>COUNTIFS(database!$G$2:$G$1002,A72,database!$C$2:$C$1002,"H")</f>
        <v>0</v>
      </c>
      <c r="C72" s="12">
        <f>COUNTIFS(database!$J$2:$J$1002,A72,database!$C$2:$C$1002,"H")+COUNTIFS(database!$M$2:$M$1002,A72,database!$C$2:$C$1002,"H")</f>
        <v>0</v>
      </c>
      <c r="D72" s="13">
        <f>COUNTIFS(database!$G$2:$G$1002,A72,database!$C$2:$C$1002,"H")+COUNTIFS(database!$J$2:$J$1002,A72,database!$C$2:$C$1002,"H")+COUNTIFS(database!$M$2:$M$1002,A72,database!$C$2:$C$1002,"H")</f>
        <v>0</v>
      </c>
      <c r="E72" s="23">
        <f>D72/SUM($D$2:$D$101)*3</f>
        <v>0</v>
      </c>
    </row>
    <row r="73" spans="1:5" x14ac:dyDescent="0.15">
      <c r="A73" s="16"/>
      <c r="B73" s="12">
        <f>COUNTIFS(database!$G$2:$G$1002,A73,database!$C$2:$C$1002,"H")</f>
        <v>0</v>
      </c>
      <c r="C73" s="12">
        <f>COUNTIFS(database!$J$2:$J$1002,A73,database!$C$2:$C$1002,"H")+COUNTIFS(database!$M$2:$M$1002,A73,database!$C$2:$C$1002,"H")</f>
        <v>0</v>
      </c>
      <c r="D73" s="13">
        <f>COUNTIFS(database!$G$2:$G$1002,A73,database!$C$2:$C$1002,"H")+COUNTIFS(database!$J$2:$J$1002,A73,database!$C$2:$C$1002,"H")+COUNTIFS(database!$M$2:$M$1002,A73,database!$C$2:$C$1002,"H")</f>
        <v>0</v>
      </c>
      <c r="E73" s="23">
        <f>D73/SUM($D$2:$D$101)*3</f>
        <v>0</v>
      </c>
    </row>
    <row r="74" spans="1:5" x14ac:dyDescent="0.15">
      <c r="A74" s="16"/>
      <c r="B74" s="12">
        <f>COUNTIFS(database!$G$2:$G$1002,A74,database!$C$2:$C$1002,"H")</f>
        <v>0</v>
      </c>
      <c r="C74" s="12">
        <f>COUNTIFS(database!$J$2:$J$1002,A74,database!$C$2:$C$1002,"H")+COUNTIFS(database!$M$2:$M$1002,A74,database!$C$2:$C$1002,"H")</f>
        <v>0</v>
      </c>
      <c r="D74" s="13">
        <f>COUNTIFS(database!$G$2:$G$1002,A74,database!$C$2:$C$1002,"H")+COUNTIFS(database!$J$2:$J$1002,A74,database!$C$2:$C$1002,"H")+COUNTIFS(database!$M$2:$M$1002,A74,database!$C$2:$C$1002,"H")</f>
        <v>0</v>
      </c>
      <c r="E74" s="23">
        <f>D74/SUM($D$2:$D$101)*3</f>
        <v>0</v>
      </c>
    </row>
    <row r="75" spans="1:5" x14ac:dyDescent="0.15">
      <c r="A75" s="16"/>
      <c r="B75" s="12">
        <f>COUNTIFS(database!$G$2:$G$1002,A75,database!$C$2:$C$1002,"H")</f>
        <v>0</v>
      </c>
      <c r="C75" s="12">
        <f>COUNTIFS(database!$J$2:$J$1002,A75,database!$C$2:$C$1002,"H")+COUNTIFS(database!$M$2:$M$1002,A75,database!$C$2:$C$1002,"H")</f>
        <v>0</v>
      </c>
      <c r="D75" s="13">
        <f>COUNTIFS(database!$G$2:$G$1002,A75,database!$C$2:$C$1002,"H")+COUNTIFS(database!$J$2:$J$1002,A75,database!$C$2:$C$1002,"H")+COUNTIFS(database!$M$2:$M$1002,A75,database!$C$2:$C$1002,"H")</f>
        <v>0</v>
      </c>
      <c r="E75" s="23">
        <f>D75/SUM($D$2:$D$101)*3</f>
        <v>0</v>
      </c>
    </row>
    <row r="76" spans="1:5" x14ac:dyDescent="0.15">
      <c r="A76" s="16"/>
      <c r="B76" s="12">
        <f>COUNTIFS(database!$G$2:$G$1002,A76,database!$C$2:$C$1002,"H")</f>
        <v>0</v>
      </c>
      <c r="C76" s="12">
        <f>COUNTIFS(database!$J$2:$J$1002,A76,database!$C$2:$C$1002,"H")+COUNTIFS(database!$M$2:$M$1002,A76,database!$C$2:$C$1002,"H")</f>
        <v>0</v>
      </c>
      <c r="D76" s="13">
        <f>COUNTIFS(database!$G$2:$G$1002,A76,database!$C$2:$C$1002,"H")+COUNTIFS(database!$J$2:$J$1002,A76,database!$C$2:$C$1002,"H")+COUNTIFS(database!$M$2:$M$1002,A76,database!$C$2:$C$1002,"H")</f>
        <v>0</v>
      </c>
      <c r="E76" s="23">
        <f>D76/SUM($D$2:$D$101)*3</f>
        <v>0</v>
      </c>
    </row>
    <row r="77" spans="1:5" x14ac:dyDescent="0.15">
      <c r="A77" s="16"/>
      <c r="B77" s="12">
        <f>COUNTIFS(database!$G$2:$G$1002,A77,database!$C$2:$C$1002,"H")</f>
        <v>0</v>
      </c>
      <c r="C77" s="12">
        <f>COUNTIFS(database!$J$2:$J$1002,A77,database!$C$2:$C$1002,"H")+COUNTIFS(database!$M$2:$M$1002,A77,database!$C$2:$C$1002,"H")</f>
        <v>0</v>
      </c>
      <c r="D77" s="13">
        <f>COUNTIFS(database!$G$2:$G$1002,A77,database!$C$2:$C$1002,"H")+COUNTIFS(database!$J$2:$J$1002,A77,database!$C$2:$C$1002,"H")+COUNTIFS(database!$M$2:$M$1002,A77,database!$C$2:$C$1002,"H")</f>
        <v>0</v>
      </c>
      <c r="E77" s="23">
        <f>D77/SUM($D$2:$D$101)*3</f>
        <v>0</v>
      </c>
    </row>
    <row r="78" spans="1:5" x14ac:dyDescent="0.15">
      <c r="A78" s="16"/>
      <c r="B78" s="12">
        <f>COUNTIFS(database!$G$2:$G$1002,A78,database!$C$2:$C$1002,"H")</f>
        <v>0</v>
      </c>
      <c r="C78" s="12">
        <f>COUNTIFS(database!$J$2:$J$1002,A78,database!$C$2:$C$1002,"H")+COUNTIFS(database!$M$2:$M$1002,A78,database!$C$2:$C$1002,"H")</f>
        <v>0</v>
      </c>
      <c r="D78" s="13">
        <f>COUNTIFS(database!$G$2:$G$1002,A78,database!$C$2:$C$1002,"H")+COUNTIFS(database!$J$2:$J$1002,A78,database!$C$2:$C$1002,"H")+COUNTIFS(database!$M$2:$M$1002,A78,database!$C$2:$C$1002,"H")</f>
        <v>0</v>
      </c>
      <c r="E78" s="23">
        <f>D78/SUM($D$2:$D$101)*3</f>
        <v>0</v>
      </c>
    </row>
    <row r="79" spans="1:5" x14ac:dyDescent="0.15">
      <c r="A79" s="16"/>
      <c r="B79" s="12">
        <f>COUNTIFS(database!$G$2:$G$1002,A79,database!$C$2:$C$1002,"H")</f>
        <v>0</v>
      </c>
      <c r="C79" s="12">
        <f>COUNTIFS(database!$J$2:$J$1002,A79,database!$C$2:$C$1002,"H")+COUNTIFS(database!$M$2:$M$1002,A79,database!$C$2:$C$1002,"H")</f>
        <v>0</v>
      </c>
      <c r="D79" s="13">
        <f>COUNTIFS(database!$G$2:$G$1002,A79,database!$C$2:$C$1002,"H")+COUNTIFS(database!$J$2:$J$1002,A79,database!$C$2:$C$1002,"H")+COUNTIFS(database!$M$2:$M$1002,A79,database!$C$2:$C$1002,"H")</f>
        <v>0</v>
      </c>
      <c r="E79" s="23">
        <f>D79/SUM($D$2:$D$101)*3</f>
        <v>0</v>
      </c>
    </row>
    <row r="80" spans="1:5" x14ac:dyDescent="0.15">
      <c r="A80" s="16"/>
      <c r="B80" s="12">
        <f>COUNTIFS(database!$G$2:$G$1002,A80,database!$C$2:$C$1002,"H")</f>
        <v>0</v>
      </c>
      <c r="C80" s="12">
        <f>COUNTIFS(database!$J$2:$J$1002,A80,database!$C$2:$C$1002,"H")+COUNTIFS(database!$M$2:$M$1002,A80,database!$C$2:$C$1002,"H")</f>
        <v>0</v>
      </c>
      <c r="D80" s="13">
        <f>COUNTIFS(database!$G$2:$G$1002,A80,database!$C$2:$C$1002,"H")+COUNTIFS(database!$J$2:$J$1002,A80,database!$C$2:$C$1002,"H")+COUNTIFS(database!$M$2:$M$1002,A80,database!$C$2:$C$1002,"H")</f>
        <v>0</v>
      </c>
      <c r="E80" s="23">
        <f>D80/SUM($D$2:$D$101)*3</f>
        <v>0</v>
      </c>
    </row>
    <row r="81" spans="1:5" x14ac:dyDescent="0.15">
      <c r="A81" s="16"/>
      <c r="B81" s="12">
        <f>COUNTIFS(database!$G$2:$G$1002,A81,database!$C$2:$C$1002,"H")</f>
        <v>0</v>
      </c>
      <c r="C81" s="12">
        <f>COUNTIFS(database!$J$2:$J$1002,A81,database!$C$2:$C$1002,"H")+COUNTIFS(database!$M$2:$M$1002,A81,database!$C$2:$C$1002,"H")</f>
        <v>0</v>
      </c>
      <c r="D81" s="13">
        <f>COUNTIFS(database!$G$2:$G$1002,A81,database!$C$2:$C$1002,"H")+COUNTIFS(database!$J$2:$J$1002,A81,database!$C$2:$C$1002,"H")+COUNTIFS(database!$M$2:$M$1002,A81,database!$C$2:$C$1002,"H")</f>
        <v>0</v>
      </c>
      <c r="E81" s="23">
        <f>D81/SUM($D$2:$D$101)*3</f>
        <v>0</v>
      </c>
    </row>
    <row r="82" spans="1:5" x14ac:dyDescent="0.15">
      <c r="A82" s="16"/>
      <c r="B82" s="12">
        <f>COUNTIFS(database!$G$2:$G$1002,A82,database!$C$2:$C$1002,"H")</f>
        <v>0</v>
      </c>
      <c r="C82" s="12">
        <f>COUNTIFS(database!$J$2:$J$1002,A82,database!$C$2:$C$1002,"H")+COUNTIFS(database!$M$2:$M$1002,A82,database!$C$2:$C$1002,"H")</f>
        <v>0</v>
      </c>
      <c r="D82" s="13">
        <f>COUNTIFS(database!$G$2:$G$1002,A82,database!$C$2:$C$1002,"H")+COUNTIFS(database!$J$2:$J$1002,A82,database!$C$2:$C$1002,"H")+COUNTIFS(database!$M$2:$M$1002,A82,database!$C$2:$C$1002,"H")</f>
        <v>0</v>
      </c>
      <c r="E82" s="23">
        <f>D82/SUM($D$2:$D$101)*3</f>
        <v>0</v>
      </c>
    </row>
    <row r="83" spans="1:5" x14ac:dyDescent="0.15">
      <c r="A83" s="16"/>
      <c r="B83" s="12">
        <f>COUNTIFS(database!$G$2:$G$1002,A83,database!$C$2:$C$1002,"H")</f>
        <v>0</v>
      </c>
      <c r="C83" s="12">
        <f>COUNTIFS(database!$J$2:$J$1002,A83,database!$C$2:$C$1002,"H")+COUNTIFS(database!$M$2:$M$1002,A83,database!$C$2:$C$1002,"H")</f>
        <v>0</v>
      </c>
      <c r="D83" s="13">
        <f>COUNTIFS(database!$G$2:$G$1002,A83,database!$C$2:$C$1002,"H")+COUNTIFS(database!$J$2:$J$1002,A83,database!$C$2:$C$1002,"H")+COUNTIFS(database!$M$2:$M$1002,A83,database!$C$2:$C$1002,"H")</f>
        <v>0</v>
      </c>
      <c r="E83" s="23">
        <f>D83/SUM($D$2:$D$101)*3</f>
        <v>0</v>
      </c>
    </row>
    <row r="84" spans="1:5" x14ac:dyDescent="0.15">
      <c r="A84" s="16"/>
      <c r="B84" s="12">
        <f>COUNTIFS(database!$G$2:$G$1002,A84,database!$C$2:$C$1002,"H")</f>
        <v>0</v>
      </c>
      <c r="C84" s="12">
        <f>COUNTIFS(database!$J$2:$J$1002,A84,database!$C$2:$C$1002,"H")+COUNTIFS(database!$M$2:$M$1002,A84,database!$C$2:$C$1002,"H")</f>
        <v>0</v>
      </c>
      <c r="D84" s="13">
        <f>COUNTIFS(database!$G$2:$G$1002,A84,database!$C$2:$C$1002,"H")+COUNTIFS(database!$J$2:$J$1002,A84,database!$C$2:$C$1002,"H")+COUNTIFS(database!$M$2:$M$1002,A84,database!$C$2:$C$1002,"H")</f>
        <v>0</v>
      </c>
      <c r="E84" s="23">
        <f>D84/SUM($D$2:$D$101)*3</f>
        <v>0</v>
      </c>
    </row>
    <row r="85" spans="1:5" x14ac:dyDescent="0.15">
      <c r="A85" s="16"/>
      <c r="B85" s="12">
        <f>COUNTIFS(database!$G$2:$G$1002,A85,database!$C$2:$C$1002,"H")</f>
        <v>0</v>
      </c>
      <c r="C85" s="12">
        <f>COUNTIFS(database!$J$2:$J$1002,A85,database!$C$2:$C$1002,"H")+COUNTIFS(database!$M$2:$M$1002,A85,database!$C$2:$C$1002,"H")</f>
        <v>0</v>
      </c>
      <c r="D85" s="13">
        <f>COUNTIFS(database!$G$2:$G$1002,A85,database!$C$2:$C$1002,"H")+COUNTIFS(database!$J$2:$J$1002,A85,database!$C$2:$C$1002,"H")+COUNTIFS(database!$M$2:$M$1002,A85,database!$C$2:$C$1002,"H")</f>
        <v>0</v>
      </c>
      <c r="E85" s="23">
        <f>D85/SUM($D$2:$D$101)*3</f>
        <v>0</v>
      </c>
    </row>
    <row r="86" spans="1:5" x14ac:dyDescent="0.15">
      <c r="A86" s="16"/>
      <c r="B86" s="12">
        <f>COUNTIFS(database!$G$2:$G$1002,A86,database!$C$2:$C$1002,"H")</f>
        <v>0</v>
      </c>
      <c r="C86" s="12">
        <f>COUNTIFS(database!$J$2:$J$1002,A86,database!$C$2:$C$1002,"H")+COUNTIFS(database!$M$2:$M$1002,A86,database!$C$2:$C$1002,"H")</f>
        <v>0</v>
      </c>
      <c r="D86" s="13">
        <f>COUNTIFS(database!$G$2:$G$1002,A86,database!$C$2:$C$1002,"H")+COUNTIFS(database!$J$2:$J$1002,A86,database!$C$2:$C$1002,"H")+COUNTIFS(database!$M$2:$M$1002,A86,database!$C$2:$C$1002,"H")</f>
        <v>0</v>
      </c>
      <c r="E86" s="23">
        <f>D86/SUM($D$2:$D$101)*3</f>
        <v>0</v>
      </c>
    </row>
    <row r="87" spans="1:5" x14ac:dyDescent="0.15">
      <c r="A87" s="16"/>
      <c r="B87" s="12">
        <f>COUNTIFS(database!$G$2:$G$1002,A87,database!$C$2:$C$1002,"H")</f>
        <v>0</v>
      </c>
      <c r="C87" s="12">
        <f>COUNTIFS(database!$J$2:$J$1002,A87,database!$C$2:$C$1002,"H")+COUNTIFS(database!$M$2:$M$1002,A87,database!$C$2:$C$1002,"H")</f>
        <v>0</v>
      </c>
      <c r="D87" s="13">
        <f>COUNTIFS(database!$G$2:$G$1002,A87,database!$C$2:$C$1002,"H")+COUNTIFS(database!$J$2:$J$1002,A87,database!$C$2:$C$1002,"H")+COUNTIFS(database!$M$2:$M$1002,A87,database!$C$2:$C$1002,"H")</f>
        <v>0</v>
      </c>
      <c r="E87" s="23">
        <f>D87/SUM($D$2:$D$101)*3</f>
        <v>0</v>
      </c>
    </row>
    <row r="88" spans="1:5" x14ac:dyDescent="0.15">
      <c r="A88" s="16"/>
      <c r="B88" s="12">
        <f>COUNTIFS(database!$G$2:$G$1002,A88,database!$C$2:$C$1002,"H")</f>
        <v>0</v>
      </c>
      <c r="C88" s="12">
        <f>COUNTIFS(database!$J$2:$J$1002,A88,database!$C$2:$C$1002,"H")+COUNTIFS(database!$M$2:$M$1002,A88,database!$C$2:$C$1002,"H")</f>
        <v>0</v>
      </c>
      <c r="D88" s="13">
        <f>COUNTIFS(database!$G$2:$G$1002,A88,database!$C$2:$C$1002,"H")+COUNTIFS(database!$J$2:$J$1002,A88,database!$C$2:$C$1002,"H")+COUNTIFS(database!$M$2:$M$1002,A88,database!$C$2:$C$1002,"H")</f>
        <v>0</v>
      </c>
      <c r="E88" s="23">
        <f>D88/SUM($D$2:$D$101)*3</f>
        <v>0</v>
      </c>
    </row>
    <row r="89" spans="1:5" x14ac:dyDescent="0.15">
      <c r="A89" s="16"/>
      <c r="B89" s="12">
        <f>COUNTIFS(database!$G$2:$G$1002,A89,database!$C$2:$C$1002,"H")</f>
        <v>0</v>
      </c>
      <c r="C89" s="12">
        <f>COUNTIFS(database!$J$2:$J$1002,A89,database!$C$2:$C$1002,"H")+COUNTIFS(database!$M$2:$M$1002,A89,database!$C$2:$C$1002,"H")</f>
        <v>0</v>
      </c>
      <c r="D89" s="13">
        <f>COUNTIFS(database!$G$2:$G$1002,A89,database!$C$2:$C$1002,"H")+COUNTIFS(database!$J$2:$J$1002,A89,database!$C$2:$C$1002,"H")+COUNTIFS(database!$M$2:$M$1002,A89,database!$C$2:$C$1002,"H")</f>
        <v>0</v>
      </c>
      <c r="E89" s="23">
        <f>D89/SUM($D$2:$D$101)*3</f>
        <v>0</v>
      </c>
    </row>
    <row r="90" spans="1:5" x14ac:dyDescent="0.15">
      <c r="A90" s="16"/>
      <c r="B90" s="12">
        <f>COUNTIFS(database!$G$2:$G$1002,A90,database!$C$2:$C$1002,"H")</f>
        <v>0</v>
      </c>
      <c r="C90" s="12">
        <f>COUNTIFS(database!$J$2:$J$1002,A90,database!$C$2:$C$1002,"H")+COUNTIFS(database!$M$2:$M$1002,A90,database!$C$2:$C$1002,"H")</f>
        <v>0</v>
      </c>
      <c r="D90" s="13">
        <f>COUNTIFS(database!$G$2:$G$1002,A90,database!$C$2:$C$1002,"H")+COUNTIFS(database!$J$2:$J$1002,A90,database!$C$2:$C$1002,"H")+COUNTIFS(database!$M$2:$M$1002,A90,database!$C$2:$C$1002,"H")</f>
        <v>0</v>
      </c>
      <c r="E90" s="23">
        <f>D90/SUM($D$2:$D$101)*3</f>
        <v>0</v>
      </c>
    </row>
    <row r="91" spans="1:5" x14ac:dyDescent="0.15">
      <c r="A91" s="16"/>
      <c r="B91" s="12">
        <f>COUNTIFS(database!$G$2:$G$1002,A91,database!$C$2:$C$1002,"H")</f>
        <v>0</v>
      </c>
      <c r="C91" s="12">
        <f>COUNTIFS(database!$J$2:$J$1002,A91,database!$C$2:$C$1002,"H")+COUNTIFS(database!$M$2:$M$1002,A91,database!$C$2:$C$1002,"H")</f>
        <v>0</v>
      </c>
      <c r="D91" s="13">
        <f>COUNTIFS(database!$G$2:$G$1002,A91,database!$C$2:$C$1002,"H")+COUNTIFS(database!$J$2:$J$1002,A91,database!$C$2:$C$1002,"H")+COUNTIFS(database!$M$2:$M$1002,A91,database!$C$2:$C$1002,"H")</f>
        <v>0</v>
      </c>
      <c r="E91" s="23">
        <f>D91/SUM($D$2:$D$101)*3</f>
        <v>0</v>
      </c>
    </row>
    <row r="92" spans="1:5" x14ac:dyDescent="0.15">
      <c r="A92" s="16"/>
      <c r="B92" s="12">
        <f>COUNTIFS(database!$G$2:$G$1002,A92,database!$C$2:$C$1002,"H")</f>
        <v>0</v>
      </c>
      <c r="C92" s="12">
        <f>COUNTIFS(database!$J$2:$J$1002,A92,database!$C$2:$C$1002,"H")+COUNTIFS(database!$M$2:$M$1002,A92,database!$C$2:$C$1002,"H")</f>
        <v>0</v>
      </c>
      <c r="D92" s="13">
        <f>COUNTIFS(database!$G$2:$G$1002,A92,database!$C$2:$C$1002,"H")+COUNTIFS(database!$J$2:$J$1002,A92,database!$C$2:$C$1002,"H")+COUNTIFS(database!$M$2:$M$1002,A92,database!$C$2:$C$1002,"H")</f>
        <v>0</v>
      </c>
      <c r="E92" s="23">
        <f>D92/SUM($D$2:$D$101)*3</f>
        <v>0</v>
      </c>
    </row>
    <row r="93" spans="1:5" x14ac:dyDescent="0.15">
      <c r="A93" s="16"/>
      <c r="B93" s="12">
        <f>COUNTIFS(database!$G$2:$G$1002,A93,database!$C$2:$C$1002,"H")</f>
        <v>0</v>
      </c>
      <c r="C93" s="12">
        <f>COUNTIFS(database!$J$2:$J$1002,A93,database!$C$2:$C$1002,"H")+COUNTIFS(database!$M$2:$M$1002,A93,database!$C$2:$C$1002,"H")</f>
        <v>0</v>
      </c>
      <c r="D93" s="13">
        <f>COUNTIFS(database!$G$2:$G$1002,A93,database!$C$2:$C$1002,"H")+COUNTIFS(database!$J$2:$J$1002,A93,database!$C$2:$C$1002,"H")+COUNTIFS(database!$M$2:$M$1002,A93,database!$C$2:$C$1002,"H")</f>
        <v>0</v>
      </c>
      <c r="E93" s="23">
        <f>D93/SUM($D$2:$D$101)*3</f>
        <v>0</v>
      </c>
    </row>
    <row r="94" spans="1:5" x14ac:dyDescent="0.15">
      <c r="A94" s="16"/>
      <c r="B94" s="12">
        <f>COUNTIFS(database!$G$2:$G$1002,A94,database!$C$2:$C$1002,"H")</f>
        <v>0</v>
      </c>
      <c r="C94" s="12">
        <f>COUNTIFS(database!$J$2:$J$1002,A94,database!$C$2:$C$1002,"H")+COUNTIFS(database!$M$2:$M$1002,A94,database!$C$2:$C$1002,"H")</f>
        <v>0</v>
      </c>
      <c r="D94" s="13">
        <f>COUNTIFS(database!$G$2:$G$1002,A94,database!$C$2:$C$1002,"H")+COUNTIFS(database!$J$2:$J$1002,A94,database!$C$2:$C$1002,"H")+COUNTIFS(database!$M$2:$M$1002,A94,database!$C$2:$C$1002,"H")</f>
        <v>0</v>
      </c>
      <c r="E94" s="23">
        <f>D94/SUM($D$2:$D$101)*3</f>
        <v>0</v>
      </c>
    </row>
    <row r="95" spans="1:5" x14ac:dyDescent="0.15">
      <c r="A95" s="16"/>
      <c r="B95" s="12">
        <f>COUNTIFS(database!$G$2:$G$1002,A95,database!$C$2:$C$1002,"H")</f>
        <v>0</v>
      </c>
      <c r="C95" s="12">
        <f>COUNTIFS(database!$J$2:$J$1002,A95,database!$C$2:$C$1002,"H")+COUNTIFS(database!$M$2:$M$1002,A95,database!$C$2:$C$1002,"H")</f>
        <v>0</v>
      </c>
      <c r="D95" s="13">
        <f>COUNTIFS(database!$G$2:$G$1002,A95,database!$C$2:$C$1002,"H")+COUNTIFS(database!$J$2:$J$1002,A95,database!$C$2:$C$1002,"H")+COUNTIFS(database!$M$2:$M$1002,A95,database!$C$2:$C$1002,"H")</f>
        <v>0</v>
      </c>
      <c r="E95" s="23">
        <f>D95/SUM($D$2:$D$101)*3</f>
        <v>0</v>
      </c>
    </row>
    <row r="96" spans="1:5" x14ac:dyDescent="0.15">
      <c r="A96" s="16"/>
      <c r="B96" s="12">
        <f>COUNTIFS(database!$G$2:$G$1002,A96,database!$C$2:$C$1002,"H")</f>
        <v>0</v>
      </c>
      <c r="C96" s="12">
        <f>COUNTIFS(database!$J$2:$J$1002,A96,database!$C$2:$C$1002,"H")+COUNTIFS(database!$M$2:$M$1002,A96,database!$C$2:$C$1002,"H")</f>
        <v>0</v>
      </c>
      <c r="D96" s="13">
        <f>COUNTIFS(database!$G$2:$G$1002,A96,database!$C$2:$C$1002,"H")+COUNTIFS(database!$J$2:$J$1002,A96,database!$C$2:$C$1002,"H")+COUNTIFS(database!$M$2:$M$1002,A96,database!$C$2:$C$1002,"H")</f>
        <v>0</v>
      </c>
      <c r="E96" s="23">
        <f>D96/SUM($D$2:$D$101)*3</f>
        <v>0</v>
      </c>
    </row>
    <row r="97" spans="1:5" x14ac:dyDescent="0.15">
      <c r="A97" s="16"/>
      <c r="B97" s="12">
        <f>COUNTIFS(database!$G$2:$G$1002,A97,database!$C$2:$C$1002,"H")</f>
        <v>0</v>
      </c>
      <c r="C97" s="12">
        <f>COUNTIFS(database!$J$2:$J$1002,A97,database!$C$2:$C$1002,"H")+COUNTIFS(database!$M$2:$M$1002,A97,database!$C$2:$C$1002,"H")</f>
        <v>0</v>
      </c>
      <c r="D97" s="13">
        <f>COUNTIFS(database!$G$2:$G$1002,A97,database!$C$2:$C$1002,"H")+COUNTIFS(database!$J$2:$J$1002,A97,database!$C$2:$C$1002,"H")+COUNTIFS(database!$M$2:$M$1002,A97,database!$C$2:$C$1002,"H")</f>
        <v>0</v>
      </c>
      <c r="E97" s="23">
        <f>D97/SUM($D$2:$D$101)*3</f>
        <v>0</v>
      </c>
    </row>
    <row r="98" spans="1:5" x14ac:dyDescent="0.15">
      <c r="A98" s="16"/>
      <c r="B98" s="12">
        <f>COUNTIFS(database!$G$2:$G$1002,A98,database!$C$2:$C$1002,"H")</f>
        <v>0</v>
      </c>
      <c r="C98" s="12">
        <f>COUNTIFS(database!$J$2:$J$1002,A98,database!$C$2:$C$1002,"H")+COUNTIFS(database!$M$2:$M$1002,A98,database!$C$2:$C$1002,"H")</f>
        <v>0</v>
      </c>
      <c r="D98" s="13">
        <f>COUNTIFS(database!$G$2:$G$1002,A98,database!$C$2:$C$1002,"H")+COUNTIFS(database!$J$2:$J$1002,A98,database!$C$2:$C$1002,"H")+COUNTIFS(database!$M$2:$M$1002,A98,database!$C$2:$C$1002,"H")</f>
        <v>0</v>
      </c>
      <c r="E98" s="23">
        <f>D98/SUM($D$2:$D$101)*3</f>
        <v>0</v>
      </c>
    </row>
    <row r="99" spans="1:5" x14ac:dyDescent="0.15">
      <c r="A99" s="16"/>
      <c r="B99" s="12">
        <f>COUNTIFS(database!$G$2:$G$1002,A99,database!$C$2:$C$1002,"H")</f>
        <v>0</v>
      </c>
      <c r="C99" s="12">
        <f>COUNTIFS(database!$J$2:$J$1002,A99,database!$C$2:$C$1002,"H")+COUNTIFS(database!$M$2:$M$1002,A99,database!$C$2:$C$1002,"H")</f>
        <v>0</v>
      </c>
      <c r="D99" s="13">
        <f>COUNTIFS(database!$G$2:$G$1002,A99,database!$C$2:$C$1002,"H")+COUNTIFS(database!$J$2:$J$1002,A99,database!$C$2:$C$1002,"H")+COUNTIFS(database!$M$2:$M$1002,A99,database!$C$2:$C$1002,"H")</f>
        <v>0</v>
      </c>
      <c r="E99" s="23">
        <f>D99/SUM($D$2:$D$101)*3</f>
        <v>0</v>
      </c>
    </row>
    <row r="100" spans="1:5" x14ac:dyDescent="0.15">
      <c r="A100" s="16"/>
      <c r="B100" s="12">
        <f>COUNTIFS(database!$G$2:$G$1002,A100,database!$C$2:$C$1002,"H")</f>
        <v>0</v>
      </c>
      <c r="C100" s="12">
        <f>COUNTIFS(database!$J$2:$J$1002,A100,database!$C$2:$C$1002,"H")+COUNTIFS(database!$M$2:$M$1002,A100,database!$C$2:$C$1002,"H")</f>
        <v>0</v>
      </c>
      <c r="D100" s="13">
        <f>COUNTIFS(database!$G$2:$G$1002,A100,database!$C$2:$C$1002,"H")+COUNTIFS(database!$J$2:$J$1002,A100,database!$C$2:$C$1002,"H")+COUNTIFS(database!$M$2:$M$1002,A100,database!$C$2:$C$1002,"H")</f>
        <v>0</v>
      </c>
      <c r="E100" s="23">
        <f>D100/SUM($D$2:$D$101)*3</f>
        <v>0</v>
      </c>
    </row>
    <row r="101" spans="1:5" x14ac:dyDescent="0.15">
      <c r="A101" s="16"/>
      <c r="B101" s="12">
        <f>COUNTIFS(database!$G$2:$G$1002,A101,database!$C$2:$C$1002,"H")</f>
        <v>0</v>
      </c>
      <c r="C101" s="12">
        <f>COUNTIFS(database!$J$2:$J$1002,A101,database!$C$2:$C$1002,"H")+COUNTIFS(database!$M$2:$M$1002,A101,database!$C$2:$C$1002,"H")</f>
        <v>0</v>
      </c>
      <c r="D101" s="13">
        <f>COUNTIFS(database!$G$2:$G$1002,A101,database!$C$2:$C$1002,"H")+COUNTIFS(database!$J$2:$J$1002,A101,database!$C$2:$C$1002,"H")+COUNTIFS(database!$M$2:$M$1002,A101,database!$C$2:$C$1002,"H")</f>
        <v>0</v>
      </c>
      <c r="E101" s="23">
        <f t="shared" ref="E101:E108" si="0">D101/SUM($D$2:$D$101)*3</f>
        <v>0</v>
      </c>
    </row>
    <row r="102" spans="1:5" x14ac:dyDescent="0.15">
      <c r="A102" s="16"/>
      <c r="B102" s="12">
        <f>COUNTIFS(database!$G$2:$G$1002,A102,database!$C$2:$C$1002,"H")</f>
        <v>0</v>
      </c>
      <c r="C102" s="12">
        <f>COUNTIFS(database!$J$2:$J$1002,A102,database!$C$2:$C$1002,"H")+COUNTIFS(database!$M$2:$M$1002,A102,database!$C$2:$C$1002,"H")</f>
        <v>0</v>
      </c>
      <c r="D102" s="13">
        <f>COUNTIFS(database!$G$2:$G$1002,A102,database!$C$2:$C$1002,"H")+COUNTIFS(database!$J$2:$J$1002,A102,database!$C$2:$C$1002,"H")+COUNTIFS(database!$M$2:$M$1002,A102,database!$C$2:$C$1002,"H")</f>
        <v>0</v>
      </c>
      <c r="E102" s="23">
        <f t="shared" si="0"/>
        <v>0</v>
      </c>
    </row>
    <row r="103" spans="1:5" x14ac:dyDescent="0.15">
      <c r="A103" s="16"/>
      <c r="B103" s="12">
        <f>COUNTIFS(database!$G$2:$G$1002,A103,database!$C$2:$C$1002,"H")</f>
        <v>0</v>
      </c>
      <c r="C103" s="12">
        <f>COUNTIFS(database!$J$2:$J$1002,A103,database!$C$2:$C$1002,"H")+COUNTIFS(database!$M$2:$M$1002,A103,database!$C$2:$C$1002,"H")</f>
        <v>0</v>
      </c>
      <c r="D103" s="13">
        <f>COUNTIFS(database!$G$2:$G$1002,A103,database!$C$2:$C$1002,"H")+COUNTIFS(database!$J$2:$J$1002,A103,database!$C$2:$C$1002,"H")+COUNTIFS(database!$M$2:$M$1002,A103,database!$C$2:$C$1002,"H")</f>
        <v>0</v>
      </c>
      <c r="E103" s="23">
        <f t="shared" si="0"/>
        <v>0</v>
      </c>
    </row>
    <row r="104" spans="1:5" x14ac:dyDescent="0.15">
      <c r="A104" s="16"/>
      <c r="B104" s="12">
        <f>COUNTIFS(database!$G$2:$G$1002,A104,database!$C$2:$C$1002,"H")</f>
        <v>0</v>
      </c>
      <c r="C104" s="12">
        <f>COUNTIFS(database!$J$2:$J$1002,A104,database!$C$2:$C$1002,"H")+COUNTIFS(database!$M$2:$M$1002,A104,database!$C$2:$C$1002,"H")</f>
        <v>0</v>
      </c>
      <c r="D104" s="13">
        <f>COUNTIFS(database!$G$2:$G$1002,A104,database!$C$2:$C$1002,"H")+COUNTIFS(database!$J$2:$J$1002,A104,database!$C$2:$C$1002,"H")+COUNTIFS(database!$M$2:$M$1002,A104,database!$C$2:$C$1002,"H")</f>
        <v>0</v>
      </c>
      <c r="E104" s="23">
        <f t="shared" si="0"/>
        <v>0</v>
      </c>
    </row>
    <row r="105" spans="1:5" x14ac:dyDescent="0.15">
      <c r="A105" s="16"/>
      <c r="B105" s="12">
        <f>COUNTIFS(database!$G$2:$G$1002,A105,database!$C$2:$C$1002,"H")</f>
        <v>0</v>
      </c>
      <c r="C105" s="12">
        <f>COUNTIFS(database!$J$2:$J$1002,A105,database!$C$2:$C$1002,"H")+COUNTIFS(database!$M$2:$M$1002,A105,database!$C$2:$C$1002,"H")</f>
        <v>0</v>
      </c>
      <c r="D105" s="13">
        <f>COUNTIFS(database!$G$2:$G$1002,A105,database!$C$2:$C$1002,"H")+COUNTIFS(database!$J$2:$J$1002,A105,database!$C$2:$C$1002,"H")+COUNTIFS(database!$M$2:$M$1002,A105,database!$C$2:$C$1002,"H")</f>
        <v>0</v>
      </c>
      <c r="E105" s="23">
        <f t="shared" si="0"/>
        <v>0</v>
      </c>
    </row>
    <row r="106" spans="1:5" x14ac:dyDescent="0.15">
      <c r="A106" s="16"/>
      <c r="B106" s="12">
        <f>COUNTIFS(database!$G$2:$G$1002,A106,database!$C$2:$C$1002,"H")</f>
        <v>0</v>
      </c>
      <c r="C106" s="12">
        <f>COUNTIFS(database!$J$2:$J$1002,A106,database!$C$2:$C$1002,"H")+COUNTIFS(database!$M$2:$M$1002,A106,database!$C$2:$C$1002,"H")</f>
        <v>0</v>
      </c>
      <c r="D106" s="13">
        <f>COUNTIFS(database!$G$2:$G$1002,A106,database!$C$2:$C$1002,"H")+COUNTIFS(database!$J$2:$J$1002,A106,database!$C$2:$C$1002,"H")+COUNTIFS(database!$M$2:$M$1002,A106,database!$C$2:$C$1002,"H")</f>
        <v>0</v>
      </c>
      <c r="E106" s="23">
        <f t="shared" si="0"/>
        <v>0</v>
      </c>
    </row>
    <row r="107" spans="1:5" x14ac:dyDescent="0.15">
      <c r="A107" s="16"/>
      <c r="B107" s="12">
        <f>COUNTIFS(database!$G$2:$G$1002,A107,database!$C$2:$C$1002,"H")</f>
        <v>0</v>
      </c>
      <c r="C107" s="12">
        <f>COUNTIFS(database!$J$2:$J$1002,A107,database!$C$2:$C$1002,"H")+COUNTIFS(database!$M$2:$M$1002,A107,database!$C$2:$C$1002,"H")</f>
        <v>0</v>
      </c>
      <c r="D107" s="13">
        <f>COUNTIFS(database!$G$2:$G$1002,A107,database!$C$2:$C$1002,"H")+COUNTIFS(database!$J$2:$J$1002,A107,database!$C$2:$C$1002,"H")+COUNTIFS(database!$M$2:$M$1002,A107,database!$C$2:$C$1002,"H")</f>
        <v>0</v>
      </c>
      <c r="E107" s="23">
        <f t="shared" si="0"/>
        <v>0</v>
      </c>
    </row>
    <row r="108" spans="1:5" x14ac:dyDescent="0.15">
      <c r="A108" s="17"/>
      <c r="B108" s="12">
        <f>COUNTIFS(database!$G$2:$G$1002,A108,database!$C$2:$C$1002,"H")</f>
        <v>0</v>
      </c>
      <c r="C108" s="12">
        <f>COUNTIFS(database!$J$2:$J$1002,A108,database!$C$2:$C$1002,"H")+COUNTIFS(database!$M$2:$M$1002,A108,database!$C$2:$C$1002,"H")</f>
        <v>0</v>
      </c>
      <c r="D108" s="13">
        <f>COUNTIFS(database!$G$2:$G$1002,A108,database!$C$2:$C$1002,"H")+COUNTIFS(database!$J$2:$J$1002,A108,database!$C$2:$C$1002,"H")+COUNTIFS(database!$M$2:$M$1002,A108,database!$C$2:$C$1002,"H")</f>
        <v>0</v>
      </c>
      <c r="E108" s="23">
        <f t="shared" si="0"/>
        <v>0</v>
      </c>
    </row>
  </sheetData>
  <autoFilter ref="A1:E108">
    <sortState ref="A2:E108">
      <sortCondition descending="1" ref="B1:B108"/>
    </sortState>
  </autoFilter>
  <sortState ref="A2:E100">
    <sortCondition descending="1" ref="B2"/>
  </sortState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328"/>
  <sheetViews>
    <sheetView zoomScale="70" zoomScaleNormal="70" workbookViewId="0">
      <selection activeCell="A2" sqref="A2:E107"/>
    </sheetView>
  </sheetViews>
  <sheetFormatPr defaultRowHeight="13.5" x14ac:dyDescent="0.15"/>
  <cols>
    <col min="1" max="1" width="17.625" style="22" customWidth="1"/>
    <col min="2" max="2" width="7.75" style="22" customWidth="1"/>
    <col min="3" max="3" width="6.5" style="22" customWidth="1"/>
    <col min="4" max="4" width="8.75" style="22" customWidth="1"/>
  </cols>
  <sheetData>
    <row r="1" spans="1:5" x14ac:dyDescent="0.15">
      <c r="A1" s="22" t="s">
        <v>380</v>
      </c>
      <c r="B1" s="10" t="s">
        <v>55</v>
      </c>
      <c r="C1" s="10" t="s">
        <v>56</v>
      </c>
      <c r="D1" s="11" t="s">
        <v>106</v>
      </c>
      <c r="E1" s="24" t="s">
        <v>177</v>
      </c>
    </row>
    <row r="2" spans="1:5" x14ac:dyDescent="0.15">
      <c r="A2" s="16"/>
      <c r="B2" s="12"/>
      <c r="C2" s="12"/>
      <c r="D2" s="13"/>
      <c r="E2" s="13"/>
    </row>
    <row r="3" spans="1:5" x14ac:dyDescent="0.15">
      <c r="A3" s="16"/>
      <c r="B3" s="12"/>
      <c r="C3" s="12"/>
      <c r="D3" s="13"/>
      <c r="E3" s="13"/>
    </row>
    <row r="4" spans="1:5" x14ac:dyDescent="0.15">
      <c r="A4" s="16"/>
      <c r="B4" s="12"/>
      <c r="C4" s="12"/>
      <c r="D4" s="13"/>
      <c r="E4" s="13"/>
    </row>
    <row r="5" spans="1:5" x14ac:dyDescent="0.15">
      <c r="A5" s="16"/>
      <c r="B5" s="12"/>
      <c r="C5" s="12"/>
      <c r="D5" s="13"/>
      <c r="E5" s="13"/>
    </row>
    <row r="6" spans="1:5" x14ac:dyDescent="0.15">
      <c r="A6" s="16"/>
      <c r="B6" s="12"/>
      <c r="C6" s="12"/>
      <c r="D6" s="13"/>
      <c r="E6" s="13"/>
    </row>
    <row r="7" spans="1:5" x14ac:dyDescent="0.15">
      <c r="A7" s="16"/>
      <c r="B7" s="12"/>
      <c r="C7" s="12"/>
      <c r="D7" s="13"/>
      <c r="E7" s="13"/>
    </row>
    <row r="8" spans="1:5" x14ac:dyDescent="0.15">
      <c r="A8" s="16"/>
      <c r="B8" s="12"/>
      <c r="C8" s="12"/>
      <c r="D8" s="13"/>
      <c r="E8" s="13"/>
    </row>
    <row r="9" spans="1:5" x14ac:dyDescent="0.15">
      <c r="A9" s="16"/>
      <c r="B9" s="12"/>
      <c r="C9" s="12"/>
      <c r="D9" s="13"/>
      <c r="E9" s="13"/>
    </row>
    <row r="10" spans="1:5" x14ac:dyDescent="0.15">
      <c r="A10" s="16"/>
      <c r="B10" s="12"/>
      <c r="C10" s="12"/>
      <c r="D10" s="13"/>
      <c r="E10" s="13"/>
    </row>
    <row r="11" spans="1:5" x14ac:dyDescent="0.15">
      <c r="A11" s="16"/>
      <c r="B11" s="12"/>
      <c r="C11" s="12"/>
      <c r="D11" s="13"/>
      <c r="E11" s="13"/>
    </row>
    <row r="12" spans="1:5" x14ac:dyDescent="0.15">
      <c r="A12" s="16"/>
      <c r="B12" s="12"/>
      <c r="C12" s="12"/>
      <c r="D12" s="13"/>
      <c r="E12" s="13"/>
    </row>
    <row r="13" spans="1:5" x14ac:dyDescent="0.15">
      <c r="A13" s="16"/>
      <c r="B13" s="12"/>
      <c r="C13" s="12"/>
      <c r="D13" s="13"/>
      <c r="E13" s="13"/>
    </row>
    <row r="14" spans="1:5" x14ac:dyDescent="0.15">
      <c r="A14" s="16"/>
      <c r="B14" s="12"/>
      <c r="C14" s="12"/>
      <c r="D14" s="13"/>
      <c r="E14" s="13"/>
    </row>
    <row r="15" spans="1:5" x14ac:dyDescent="0.15">
      <c r="A15" s="16"/>
      <c r="B15" s="12"/>
      <c r="C15" s="12"/>
      <c r="D15" s="13"/>
      <c r="E15" s="13"/>
    </row>
    <row r="16" spans="1:5" x14ac:dyDescent="0.15">
      <c r="A16" s="16"/>
      <c r="B16" s="12"/>
      <c r="C16" s="12"/>
      <c r="D16" s="13"/>
      <c r="E16" s="13"/>
    </row>
    <row r="17" spans="1:5" x14ac:dyDescent="0.15">
      <c r="A17" s="16"/>
      <c r="B17" s="12"/>
      <c r="C17" s="12"/>
      <c r="D17" s="13"/>
      <c r="E17" s="13"/>
    </row>
    <row r="18" spans="1:5" x14ac:dyDescent="0.15">
      <c r="A18" s="16"/>
      <c r="B18" s="12"/>
      <c r="C18" s="12"/>
      <c r="D18" s="13"/>
      <c r="E18" s="13"/>
    </row>
    <row r="19" spans="1:5" x14ac:dyDescent="0.15">
      <c r="A19" s="16"/>
      <c r="B19" s="12"/>
      <c r="C19" s="12"/>
      <c r="D19" s="13"/>
      <c r="E19" s="13"/>
    </row>
    <row r="20" spans="1:5" x14ac:dyDescent="0.15">
      <c r="A20" s="16"/>
      <c r="B20" s="12"/>
      <c r="C20" s="12"/>
      <c r="D20" s="13"/>
      <c r="E20" s="13"/>
    </row>
    <row r="21" spans="1:5" x14ac:dyDescent="0.15">
      <c r="A21" s="16"/>
      <c r="B21" s="12"/>
      <c r="C21" s="12"/>
      <c r="D21" s="13"/>
      <c r="E21" s="13"/>
    </row>
    <row r="22" spans="1:5" x14ac:dyDescent="0.15">
      <c r="A22" s="16"/>
      <c r="B22" s="12"/>
      <c r="C22" s="12"/>
      <c r="D22" s="13"/>
      <c r="E22" s="13"/>
    </row>
    <row r="23" spans="1:5" x14ac:dyDescent="0.15">
      <c r="A23" s="16"/>
      <c r="B23" s="12"/>
      <c r="C23" s="12"/>
      <c r="D23" s="13"/>
      <c r="E23" s="13"/>
    </row>
    <row r="24" spans="1:5" x14ac:dyDescent="0.15">
      <c r="A24" s="16"/>
      <c r="B24" s="12"/>
      <c r="C24" s="12"/>
      <c r="D24" s="13"/>
      <c r="E24" s="13"/>
    </row>
    <row r="25" spans="1:5" x14ac:dyDescent="0.15">
      <c r="A25" s="16"/>
      <c r="B25" s="12"/>
      <c r="C25" s="12"/>
      <c r="D25" s="13"/>
      <c r="E25" s="13"/>
    </row>
    <row r="26" spans="1:5" x14ac:dyDescent="0.15">
      <c r="A26" s="16"/>
      <c r="B26" s="12"/>
      <c r="C26" s="12"/>
      <c r="D26" s="13"/>
      <c r="E26" s="13"/>
    </row>
    <row r="27" spans="1:5" x14ac:dyDescent="0.15">
      <c r="A27" s="16"/>
      <c r="B27" s="12"/>
      <c r="C27" s="12"/>
      <c r="D27" s="13"/>
      <c r="E27" s="13"/>
    </row>
    <row r="28" spans="1:5" x14ac:dyDescent="0.15">
      <c r="A28" s="16"/>
      <c r="B28" s="12"/>
      <c r="C28" s="12"/>
      <c r="D28" s="13"/>
      <c r="E28" s="13"/>
    </row>
    <row r="29" spans="1:5" x14ac:dyDescent="0.15">
      <c r="A29" s="16"/>
      <c r="B29" s="12"/>
      <c r="C29" s="12"/>
      <c r="D29" s="13"/>
      <c r="E29" s="13"/>
    </row>
    <row r="30" spans="1:5" x14ac:dyDescent="0.15">
      <c r="A30" s="16"/>
      <c r="B30" s="12"/>
      <c r="C30" s="12"/>
      <c r="D30" s="13"/>
      <c r="E30" s="13"/>
    </row>
    <row r="31" spans="1:5" x14ac:dyDescent="0.15">
      <c r="A31" s="16"/>
      <c r="B31" s="12"/>
      <c r="C31" s="12"/>
      <c r="D31" s="13"/>
      <c r="E31" s="13"/>
    </row>
    <row r="32" spans="1:5" x14ac:dyDescent="0.15">
      <c r="A32" s="16"/>
      <c r="B32" s="12"/>
      <c r="C32" s="12"/>
      <c r="D32" s="13"/>
      <c r="E32" s="13"/>
    </row>
    <row r="33" spans="1:5" x14ac:dyDescent="0.15">
      <c r="A33" s="16"/>
      <c r="B33" s="12"/>
      <c r="C33" s="12"/>
      <c r="D33" s="13"/>
      <c r="E33" s="13"/>
    </row>
    <row r="34" spans="1:5" x14ac:dyDescent="0.15">
      <c r="A34" s="16"/>
      <c r="B34" s="12"/>
      <c r="C34" s="12"/>
      <c r="D34" s="13"/>
      <c r="E34" s="13"/>
    </row>
    <row r="35" spans="1:5" x14ac:dyDescent="0.15">
      <c r="A35" s="16"/>
      <c r="B35" s="12"/>
      <c r="C35" s="12"/>
      <c r="D35" s="13"/>
      <c r="E35" s="13"/>
    </row>
    <row r="36" spans="1:5" x14ac:dyDescent="0.15">
      <c r="A36" s="16"/>
      <c r="B36" s="12"/>
      <c r="C36" s="12"/>
      <c r="D36" s="13"/>
      <c r="E36" s="13"/>
    </row>
    <row r="37" spans="1:5" x14ac:dyDescent="0.15">
      <c r="A37" s="16"/>
      <c r="B37" s="12"/>
      <c r="C37" s="12"/>
      <c r="D37" s="13"/>
      <c r="E37" s="13"/>
    </row>
    <row r="38" spans="1:5" x14ac:dyDescent="0.15">
      <c r="A38" s="16"/>
      <c r="B38" s="12"/>
      <c r="C38" s="12"/>
      <c r="D38" s="13"/>
      <c r="E38" s="13"/>
    </row>
    <row r="39" spans="1:5" x14ac:dyDescent="0.15">
      <c r="A39" s="16"/>
      <c r="B39" s="12"/>
      <c r="C39" s="12"/>
      <c r="D39" s="13"/>
      <c r="E39" s="13"/>
    </row>
    <row r="40" spans="1:5" x14ac:dyDescent="0.15">
      <c r="A40" s="16"/>
      <c r="B40" s="12"/>
      <c r="C40" s="12"/>
      <c r="D40" s="13"/>
      <c r="E40" s="13"/>
    </row>
    <row r="41" spans="1:5" x14ac:dyDescent="0.15">
      <c r="A41" s="16"/>
      <c r="B41" s="12"/>
      <c r="C41" s="12"/>
      <c r="D41" s="13"/>
      <c r="E41" s="13"/>
    </row>
    <row r="42" spans="1:5" x14ac:dyDescent="0.15">
      <c r="A42" s="16"/>
      <c r="B42" s="12"/>
      <c r="C42" s="12"/>
      <c r="D42" s="13"/>
      <c r="E42" s="13"/>
    </row>
    <row r="43" spans="1:5" x14ac:dyDescent="0.15">
      <c r="A43" s="16"/>
      <c r="B43" s="12"/>
      <c r="C43" s="12"/>
      <c r="D43" s="13"/>
      <c r="E43" s="13"/>
    </row>
    <row r="44" spans="1:5" x14ac:dyDescent="0.15">
      <c r="A44" s="16"/>
      <c r="B44" s="12"/>
      <c r="C44" s="12"/>
      <c r="D44" s="13"/>
      <c r="E44" s="13"/>
    </row>
    <row r="45" spans="1:5" x14ac:dyDescent="0.15">
      <c r="A45" s="16"/>
      <c r="B45" s="12"/>
      <c r="C45" s="12"/>
      <c r="D45" s="13"/>
      <c r="E45" s="13"/>
    </row>
    <row r="46" spans="1:5" x14ac:dyDescent="0.15">
      <c r="A46" s="16"/>
      <c r="B46" s="12"/>
      <c r="C46" s="12"/>
      <c r="D46" s="13"/>
      <c r="E46" s="13"/>
    </row>
    <row r="47" spans="1:5" x14ac:dyDescent="0.15">
      <c r="A47" s="16"/>
      <c r="B47" s="12"/>
      <c r="C47" s="12"/>
      <c r="D47" s="13"/>
      <c r="E47" s="13"/>
    </row>
    <row r="48" spans="1:5" x14ac:dyDescent="0.15">
      <c r="A48" s="16"/>
      <c r="B48" s="12"/>
      <c r="C48" s="12"/>
      <c r="D48" s="13"/>
      <c r="E48" s="13"/>
    </row>
    <row r="49" spans="1:5" x14ac:dyDescent="0.15">
      <c r="A49" s="16"/>
      <c r="B49" s="12"/>
      <c r="C49" s="12"/>
      <c r="D49" s="13"/>
      <c r="E49" s="13"/>
    </row>
    <row r="50" spans="1:5" x14ac:dyDescent="0.15">
      <c r="A50" s="16"/>
      <c r="B50" s="12"/>
      <c r="C50" s="12"/>
      <c r="D50" s="13"/>
      <c r="E50" s="13"/>
    </row>
    <row r="51" spans="1:5" x14ac:dyDescent="0.15">
      <c r="A51" s="16"/>
      <c r="B51" s="12"/>
      <c r="C51" s="12"/>
      <c r="D51" s="13"/>
      <c r="E51" s="13"/>
    </row>
    <row r="52" spans="1:5" x14ac:dyDescent="0.15">
      <c r="A52" s="16"/>
      <c r="B52" s="12"/>
      <c r="C52" s="12"/>
      <c r="D52" s="13"/>
      <c r="E52" s="13"/>
    </row>
    <row r="53" spans="1:5" x14ac:dyDescent="0.15">
      <c r="A53" s="16"/>
      <c r="B53" s="12"/>
      <c r="C53" s="12"/>
      <c r="D53" s="13"/>
      <c r="E53" s="13"/>
    </row>
    <row r="54" spans="1:5" x14ac:dyDescent="0.15">
      <c r="A54" s="16"/>
      <c r="B54" s="12"/>
      <c r="C54" s="12"/>
      <c r="D54" s="13"/>
      <c r="E54" s="13"/>
    </row>
    <row r="55" spans="1:5" x14ac:dyDescent="0.15">
      <c r="A55" s="16"/>
      <c r="B55" s="12"/>
      <c r="C55" s="12"/>
      <c r="D55" s="13"/>
      <c r="E55" s="13"/>
    </row>
    <row r="56" spans="1:5" x14ac:dyDescent="0.15">
      <c r="A56" s="16"/>
      <c r="B56" s="12"/>
      <c r="C56" s="12"/>
      <c r="D56" s="13"/>
      <c r="E56" s="13"/>
    </row>
    <row r="57" spans="1:5" x14ac:dyDescent="0.15">
      <c r="A57" s="16"/>
      <c r="B57" s="12"/>
      <c r="C57" s="12"/>
      <c r="D57" s="13"/>
      <c r="E57" s="13"/>
    </row>
    <row r="58" spans="1:5" x14ac:dyDescent="0.15">
      <c r="A58" s="16"/>
      <c r="B58" s="12"/>
      <c r="C58" s="12"/>
      <c r="D58" s="13"/>
      <c r="E58" s="13"/>
    </row>
    <row r="59" spans="1:5" x14ac:dyDescent="0.15">
      <c r="A59" s="16"/>
      <c r="B59" s="12"/>
      <c r="C59" s="12"/>
      <c r="D59" s="13"/>
      <c r="E59" s="13"/>
    </row>
    <row r="60" spans="1:5" x14ac:dyDescent="0.15">
      <c r="A60" s="16"/>
      <c r="B60" s="12"/>
      <c r="C60" s="12"/>
      <c r="D60" s="13"/>
      <c r="E60" s="13"/>
    </row>
    <row r="61" spans="1:5" x14ac:dyDescent="0.15">
      <c r="A61" s="16"/>
      <c r="B61" s="12"/>
      <c r="C61" s="12"/>
      <c r="D61" s="13"/>
      <c r="E61" s="13"/>
    </row>
    <row r="62" spans="1:5" x14ac:dyDescent="0.15">
      <c r="A62" s="16"/>
      <c r="B62" s="12"/>
      <c r="C62" s="12"/>
      <c r="D62" s="13"/>
      <c r="E62" s="13"/>
    </row>
    <row r="63" spans="1:5" x14ac:dyDescent="0.15">
      <c r="A63" s="16"/>
      <c r="B63" s="12"/>
      <c r="C63" s="12"/>
      <c r="D63" s="13"/>
      <c r="E63" s="13"/>
    </row>
    <row r="64" spans="1:5" x14ac:dyDescent="0.15">
      <c r="A64" s="16"/>
      <c r="B64" s="12"/>
      <c r="C64" s="12"/>
      <c r="D64" s="13"/>
      <c r="E64" s="13"/>
    </row>
    <row r="65" spans="1:5" x14ac:dyDescent="0.15">
      <c r="A65" s="16"/>
      <c r="B65" s="12"/>
      <c r="C65" s="12"/>
      <c r="D65" s="13"/>
      <c r="E65" s="13"/>
    </row>
    <row r="66" spans="1:5" x14ac:dyDescent="0.15">
      <c r="A66" s="16"/>
      <c r="B66" s="12"/>
      <c r="C66" s="12"/>
      <c r="D66" s="13"/>
      <c r="E66" s="13"/>
    </row>
    <row r="67" spans="1:5" x14ac:dyDescent="0.15">
      <c r="A67" s="16"/>
      <c r="B67" s="12"/>
      <c r="C67" s="12"/>
      <c r="D67" s="13"/>
      <c r="E67" s="13"/>
    </row>
    <row r="68" spans="1:5" x14ac:dyDescent="0.15">
      <c r="A68" s="16"/>
      <c r="B68" s="12"/>
      <c r="C68" s="12"/>
      <c r="D68" s="13"/>
      <c r="E68" s="13"/>
    </row>
    <row r="69" spans="1:5" x14ac:dyDescent="0.15">
      <c r="A69" s="16"/>
      <c r="B69" s="12"/>
      <c r="C69" s="12"/>
      <c r="D69" s="13"/>
      <c r="E69" s="13"/>
    </row>
    <row r="70" spans="1:5" x14ac:dyDescent="0.15">
      <c r="A70" s="16"/>
      <c r="B70" s="12"/>
      <c r="C70" s="12"/>
      <c r="D70" s="13"/>
      <c r="E70" s="13"/>
    </row>
    <row r="71" spans="1:5" x14ac:dyDescent="0.15">
      <c r="A71" s="16"/>
      <c r="B71" s="12"/>
      <c r="C71" s="12"/>
      <c r="D71" s="13"/>
      <c r="E71" s="13"/>
    </row>
    <row r="72" spans="1:5" x14ac:dyDescent="0.15">
      <c r="A72" s="16"/>
      <c r="B72" s="12"/>
      <c r="C72" s="12"/>
      <c r="D72" s="13"/>
      <c r="E72" s="13"/>
    </row>
    <row r="73" spans="1:5" x14ac:dyDescent="0.15">
      <c r="A73" s="16"/>
      <c r="B73" s="12"/>
      <c r="C73" s="12"/>
      <c r="D73" s="13"/>
      <c r="E73" s="13"/>
    </row>
    <row r="74" spans="1:5" x14ac:dyDescent="0.15">
      <c r="A74" s="16"/>
      <c r="B74" s="12"/>
      <c r="C74" s="12"/>
      <c r="D74" s="13"/>
      <c r="E74" s="13"/>
    </row>
    <row r="75" spans="1:5" x14ac:dyDescent="0.15">
      <c r="A75" s="16"/>
      <c r="B75" s="12"/>
      <c r="C75" s="12"/>
      <c r="D75" s="13"/>
      <c r="E75" s="13"/>
    </row>
    <row r="76" spans="1:5" x14ac:dyDescent="0.15">
      <c r="A76" s="16"/>
      <c r="B76" s="12"/>
      <c r="C76" s="12"/>
      <c r="D76" s="13"/>
      <c r="E76" s="13"/>
    </row>
    <row r="77" spans="1:5" x14ac:dyDescent="0.15">
      <c r="A77" s="16"/>
      <c r="B77" s="12"/>
      <c r="C77" s="12"/>
      <c r="D77" s="13"/>
      <c r="E77" s="13"/>
    </row>
    <row r="78" spans="1:5" x14ac:dyDescent="0.15">
      <c r="A78" s="16"/>
      <c r="B78" s="12"/>
      <c r="C78" s="12"/>
      <c r="D78" s="13"/>
      <c r="E78" s="13"/>
    </row>
    <row r="79" spans="1:5" x14ac:dyDescent="0.15">
      <c r="A79" s="16"/>
      <c r="B79" s="12"/>
      <c r="C79" s="12"/>
      <c r="D79" s="13"/>
      <c r="E79" s="13"/>
    </row>
    <row r="80" spans="1:5" x14ac:dyDescent="0.15">
      <c r="A80" s="16"/>
      <c r="B80" s="12"/>
      <c r="C80" s="12"/>
      <c r="D80" s="13"/>
      <c r="E80" s="13"/>
    </row>
    <row r="81" spans="1:5" x14ac:dyDescent="0.15">
      <c r="A81" s="16"/>
      <c r="B81" s="12"/>
      <c r="C81" s="12"/>
      <c r="D81" s="13"/>
      <c r="E81" s="13"/>
    </row>
    <row r="82" spans="1:5" x14ac:dyDescent="0.15">
      <c r="A82" s="16"/>
      <c r="B82" s="12"/>
      <c r="C82" s="12"/>
      <c r="D82" s="13"/>
      <c r="E82" s="13"/>
    </row>
    <row r="83" spans="1:5" x14ac:dyDescent="0.15">
      <c r="A83" s="16"/>
      <c r="B83" s="12"/>
      <c r="C83" s="12"/>
      <c r="D83" s="13"/>
      <c r="E83" s="13"/>
    </row>
    <row r="84" spans="1:5" x14ac:dyDescent="0.15">
      <c r="A84" s="16"/>
      <c r="B84" s="12"/>
      <c r="C84" s="12"/>
      <c r="D84" s="13"/>
      <c r="E84" s="13"/>
    </row>
    <row r="85" spans="1:5" x14ac:dyDescent="0.15">
      <c r="A85" s="16"/>
      <c r="B85" s="12"/>
      <c r="C85" s="12"/>
      <c r="D85" s="13"/>
      <c r="E85" s="13"/>
    </row>
    <row r="86" spans="1:5" x14ac:dyDescent="0.15">
      <c r="A86" s="16"/>
      <c r="B86" s="12"/>
      <c r="C86" s="12"/>
      <c r="D86" s="13"/>
      <c r="E86" s="13"/>
    </row>
    <row r="87" spans="1:5" x14ac:dyDescent="0.15">
      <c r="A87" s="16"/>
      <c r="B87" s="12"/>
      <c r="C87" s="12"/>
      <c r="D87" s="13"/>
      <c r="E87" s="13"/>
    </row>
    <row r="88" spans="1:5" x14ac:dyDescent="0.15">
      <c r="A88" s="16"/>
      <c r="B88" s="12"/>
      <c r="C88" s="12"/>
      <c r="D88" s="13"/>
      <c r="E88" s="13"/>
    </row>
    <row r="89" spans="1:5" x14ac:dyDescent="0.15">
      <c r="A89" s="16"/>
      <c r="B89" s="12"/>
      <c r="C89" s="12"/>
      <c r="D89" s="13"/>
      <c r="E89" s="13"/>
    </row>
    <row r="90" spans="1:5" x14ac:dyDescent="0.15">
      <c r="A90" s="16"/>
      <c r="B90" s="12"/>
      <c r="C90" s="12"/>
      <c r="D90" s="13"/>
      <c r="E90" s="13"/>
    </row>
    <row r="91" spans="1:5" x14ac:dyDescent="0.15">
      <c r="A91" s="16"/>
      <c r="B91" s="12"/>
      <c r="C91" s="12"/>
      <c r="D91" s="13"/>
      <c r="E91" s="13"/>
    </row>
    <row r="92" spans="1:5" x14ac:dyDescent="0.15">
      <c r="A92" s="16"/>
      <c r="B92" s="12"/>
      <c r="C92" s="12"/>
      <c r="D92" s="13"/>
      <c r="E92" s="13"/>
    </row>
    <row r="93" spans="1:5" x14ac:dyDescent="0.15">
      <c r="A93" s="16"/>
      <c r="B93" s="12"/>
      <c r="C93" s="12"/>
      <c r="D93" s="13"/>
      <c r="E93" s="13"/>
    </row>
    <row r="94" spans="1:5" x14ac:dyDescent="0.15">
      <c r="A94" s="16"/>
      <c r="B94" s="12"/>
      <c r="C94" s="12"/>
      <c r="D94" s="13"/>
      <c r="E94" s="13"/>
    </row>
    <row r="95" spans="1:5" x14ac:dyDescent="0.15">
      <c r="A95" s="16"/>
      <c r="B95" s="12"/>
      <c r="C95" s="12"/>
      <c r="D95" s="13"/>
      <c r="E95" s="13"/>
    </row>
    <row r="96" spans="1:5" x14ac:dyDescent="0.15">
      <c r="A96" s="16"/>
      <c r="B96" s="12"/>
      <c r="C96" s="12"/>
      <c r="D96" s="13"/>
      <c r="E96" s="13"/>
    </row>
    <row r="97" spans="1:5" x14ac:dyDescent="0.15">
      <c r="A97" s="16"/>
      <c r="B97" s="12"/>
      <c r="C97" s="12"/>
      <c r="D97" s="13"/>
      <c r="E97" s="13"/>
    </row>
    <row r="98" spans="1:5" x14ac:dyDescent="0.15">
      <c r="A98" s="16"/>
      <c r="B98" s="12"/>
      <c r="C98" s="12"/>
      <c r="D98" s="13"/>
      <c r="E98" s="13"/>
    </row>
    <row r="99" spans="1:5" x14ac:dyDescent="0.15">
      <c r="A99" s="16"/>
      <c r="B99" s="12"/>
      <c r="C99" s="12"/>
      <c r="D99" s="13"/>
      <c r="E99" s="13"/>
    </row>
    <row r="100" spans="1:5" x14ac:dyDescent="0.15">
      <c r="A100" s="16"/>
      <c r="B100" s="12"/>
      <c r="C100" s="12"/>
      <c r="D100" s="13"/>
      <c r="E100" s="13"/>
    </row>
    <row r="101" spans="1:5" x14ac:dyDescent="0.15">
      <c r="A101" s="16"/>
      <c r="B101" s="12"/>
      <c r="C101" s="12"/>
      <c r="D101" s="13"/>
      <c r="E101" s="13"/>
    </row>
    <row r="102" spans="1:5" x14ac:dyDescent="0.15">
      <c r="A102" s="16"/>
      <c r="B102" s="12"/>
      <c r="C102" s="12"/>
      <c r="D102" s="13"/>
      <c r="E102" s="13"/>
    </row>
    <row r="103" spans="1:5" x14ac:dyDescent="0.15">
      <c r="A103" s="16"/>
      <c r="B103" s="12"/>
      <c r="C103" s="12"/>
      <c r="D103" s="13"/>
      <c r="E103" s="13"/>
    </row>
    <row r="104" spans="1:5" x14ac:dyDescent="0.15">
      <c r="A104" s="16"/>
      <c r="B104" s="12"/>
      <c r="C104" s="12"/>
      <c r="D104" s="13"/>
      <c r="E104" s="13"/>
    </row>
    <row r="105" spans="1:5" x14ac:dyDescent="0.15">
      <c r="A105" s="16"/>
      <c r="B105" s="12"/>
      <c r="C105" s="12"/>
      <c r="D105" s="13"/>
      <c r="E105" s="13"/>
    </row>
    <row r="106" spans="1:5" x14ac:dyDescent="0.15">
      <c r="A106" s="16"/>
      <c r="B106" s="12"/>
      <c r="C106" s="12"/>
      <c r="D106" s="13"/>
      <c r="E106" s="13"/>
    </row>
    <row r="107" spans="1:5" x14ac:dyDescent="0.15">
      <c r="A107" s="16"/>
      <c r="B107" s="12"/>
      <c r="C107" s="12"/>
      <c r="D107" s="13"/>
      <c r="E107" s="13"/>
    </row>
    <row r="108" spans="1:5" x14ac:dyDescent="0.15">
      <c r="A108" s="16"/>
      <c r="B108" s="12"/>
      <c r="C108" s="12"/>
      <c r="D108" s="13"/>
      <c r="E108" s="13"/>
    </row>
    <row r="109" spans="1:5" x14ac:dyDescent="0.15">
      <c r="A109" s="22" t="s">
        <v>405</v>
      </c>
    </row>
    <row r="110" spans="1:5" x14ac:dyDescent="0.15">
      <c r="A110" s="22" t="s">
        <v>109</v>
      </c>
    </row>
    <row r="111" spans="1:5" x14ac:dyDescent="0.15">
      <c r="A111" s="22" t="s">
        <v>358</v>
      </c>
    </row>
    <row r="112" spans="1:5" x14ac:dyDescent="0.15">
      <c r="A112" s="22" t="s">
        <v>512</v>
      </c>
    </row>
    <row r="113" spans="1:1" x14ac:dyDescent="0.15">
      <c r="A113" s="22" t="s">
        <v>515</v>
      </c>
    </row>
    <row r="114" spans="1:1" x14ac:dyDescent="0.15">
      <c r="A114" s="22" t="s">
        <v>505</v>
      </c>
    </row>
    <row r="115" spans="1:1" x14ac:dyDescent="0.15">
      <c r="A115" s="22" t="s">
        <v>319</v>
      </c>
    </row>
    <row r="116" spans="1:1" x14ac:dyDescent="0.15">
      <c r="A116" s="22" t="s">
        <v>488</v>
      </c>
    </row>
    <row r="117" spans="1:1" x14ac:dyDescent="0.15">
      <c r="A117" s="22" t="s">
        <v>429</v>
      </c>
    </row>
    <row r="118" spans="1:1" x14ac:dyDescent="0.15">
      <c r="A118" s="22" t="s">
        <v>356</v>
      </c>
    </row>
    <row r="119" spans="1:1" x14ac:dyDescent="0.15">
      <c r="A119" s="22" t="s">
        <v>441</v>
      </c>
    </row>
    <row r="120" spans="1:1" x14ac:dyDescent="0.15">
      <c r="A120" s="22" t="s">
        <v>397</v>
      </c>
    </row>
    <row r="121" spans="1:1" x14ac:dyDescent="0.15">
      <c r="A121" s="22" t="s">
        <v>466</v>
      </c>
    </row>
    <row r="122" spans="1:1" x14ac:dyDescent="0.15">
      <c r="A122" s="22" t="s">
        <v>415</v>
      </c>
    </row>
    <row r="123" spans="1:1" x14ac:dyDescent="0.15">
      <c r="A123" s="22" t="s">
        <v>495</v>
      </c>
    </row>
    <row r="124" spans="1:1" x14ac:dyDescent="0.15">
      <c r="A124" s="22" t="s">
        <v>476</v>
      </c>
    </row>
    <row r="125" spans="1:1" x14ac:dyDescent="0.15">
      <c r="A125" s="22" t="s">
        <v>314</v>
      </c>
    </row>
    <row r="126" spans="1:1" x14ac:dyDescent="0.15">
      <c r="A126" s="22" t="s">
        <v>516</v>
      </c>
    </row>
    <row r="127" spans="1:1" x14ac:dyDescent="0.15">
      <c r="A127" s="22" t="s">
        <v>403</v>
      </c>
    </row>
    <row r="128" spans="1:1" x14ac:dyDescent="0.15">
      <c r="A128" s="22" t="s">
        <v>545</v>
      </c>
    </row>
    <row r="129" spans="1:1" x14ac:dyDescent="0.15">
      <c r="A129" s="22" t="s">
        <v>546</v>
      </c>
    </row>
    <row r="130" spans="1:1" x14ac:dyDescent="0.15">
      <c r="A130" s="22" t="s">
        <v>326</v>
      </c>
    </row>
    <row r="131" spans="1:1" x14ac:dyDescent="0.15">
      <c r="A131" s="22" t="s">
        <v>284</v>
      </c>
    </row>
    <row r="132" spans="1:1" x14ac:dyDescent="0.15">
      <c r="A132" s="22" t="s">
        <v>484</v>
      </c>
    </row>
    <row r="133" spans="1:1" x14ac:dyDescent="0.15">
      <c r="A133" s="22" t="s">
        <v>491</v>
      </c>
    </row>
    <row r="134" spans="1:1" x14ac:dyDescent="0.15">
      <c r="A134" s="22" t="s">
        <v>174</v>
      </c>
    </row>
    <row r="135" spans="1:1" x14ac:dyDescent="0.15">
      <c r="A135" s="22" t="s">
        <v>537</v>
      </c>
    </row>
    <row r="136" spans="1:1" x14ac:dyDescent="0.15">
      <c r="A136" s="22" t="s">
        <v>485</v>
      </c>
    </row>
    <row r="137" spans="1:1" x14ac:dyDescent="0.15">
      <c r="A137" s="22" t="s">
        <v>464</v>
      </c>
    </row>
    <row r="138" spans="1:1" x14ac:dyDescent="0.15">
      <c r="A138" s="22" t="s">
        <v>493</v>
      </c>
    </row>
    <row r="139" spans="1:1" x14ac:dyDescent="0.15">
      <c r="A139" s="22" t="s">
        <v>499</v>
      </c>
    </row>
    <row r="140" spans="1:1" x14ac:dyDescent="0.15">
      <c r="A140" s="22" t="s">
        <v>526</v>
      </c>
    </row>
    <row r="141" spans="1:1" x14ac:dyDescent="0.15">
      <c r="A141" s="22" t="s">
        <v>453</v>
      </c>
    </row>
    <row r="142" spans="1:1" x14ac:dyDescent="0.15">
      <c r="A142" s="22" t="s">
        <v>458</v>
      </c>
    </row>
    <row r="143" spans="1:1" x14ac:dyDescent="0.15">
      <c r="A143" s="22" t="s">
        <v>282</v>
      </c>
    </row>
    <row r="144" spans="1:1" x14ac:dyDescent="0.15">
      <c r="A144" s="22" t="s">
        <v>455</v>
      </c>
    </row>
    <row r="145" spans="1:1" x14ac:dyDescent="0.15">
      <c r="A145" s="22" t="s">
        <v>411</v>
      </c>
    </row>
    <row r="146" spans="1:1" x14ac:dyDescent="0.15">
      <c r="A146" s="22" t="s">
        <v>412</v>
      </c>
    </row>
    <row r="147" spans="1:1" x14ac:dyDescent="0.15">
      <c r="A147" s="22" t="s">
        <v>114</v>
      </c>
    </row>
    <row r="148" spans="1:1" x14ac:dyDescent="0.15">
      <c r="A148" s="22" t="s">
        <v>368</v>
      </c>
    </row>
    <row r="149" spans="1:1" x14ac:dyDescent="0.15">
      <c r="A149" s="22" t="s">
        <v>433</v>
      </c>
    </row>
    <row r="150" spans="1:1" x14ac:dyDescent="0.15">
      <c r="A150" s="22" t="s">
        <v>543</v>
      </c>
    </row>
    <row r="151" spans="1:1" x14ac:dyDescent="0.15">
      <c r="A151" s="22" t="s">
        <v>473</v>
      </c>
    </row>
    <row r="152" spans="1:1" x14ac:dyDescent="0.15">
      <c r="A152" s="22" t="s">
        <v>169</v>
      </c>
    </row>
    <row r="153" spans="1:1" x14ac:dyDescent="0.15">
      <c r="A153" s="22" t="s">
        <v>567</v>
      </c>
    </row>
    <row r="154" spans="1:1" x14ac:dyDescent="0.15">
      <c r="A154" s="22" t="s">
        <v>542</v>
      </c>
    </row>
    <row r="155" spans="1:1" x14ac:dyDescent="0.15">
      <c r="A155" s="22" t="s">
        <v>520</v>
      </c>
    </row>
    <row r="156" spans="1:1" x14ac:dyDescent="0.15">
      <c r="A156" s="22" t="s">
        <v>519</v>
      </c>
    </row>
    <row r="157" spans="1:1" x14ac:dyDescent="0.15">
      <c r="A157" s="22" t="s">
        <v>118</v>
      </c>
    </row>
    <row r="158" spans="1:1" x14ac:dyDescent="0.15">
      <c r="A158" s="22" t="s">
        <v>343</v>
      </c>
    </row>
    <row r="159" spans="1:1" x14ac:dyDescent="0.15">
      <c r="A159" s="22" t="s">
        <v>504</v>
      </c>
    </row>
    <row r="160" spans="1:1" x14ac:dyDescent="0.15">
      <c r="A160" s="22" t="s">
        <v>510</v>
      </c>
    </row>
    <row r="161" spans="1:1" x14ac:dyDescent="0.15">
      <c r="A161" s="22" t="s">
        <v>527</v>
      </c>
    </row>
    <row r="162" spans="1:1" x14ac:dyDescent="0.15">
      <c r="A162" s="22" t="s">
        <v>288</v>
      </c>
    </row>
    <row r="163" spans="1:1" x14ac:dyDescent="0.15">
      <c r="A163" s="22" t="s">
        <v>345</v>
      </c>
    </row>
    <row r="164" spans="1:1" x14ac:dyDescent="0.15">
      <c r="A164" s="22" t="s">
        <v>479</v>
      </c>
    </row>
    <row r="165" spans="1:1" x14ac:dyDescent="0.15">
      <c r="A165" s="22" t="s">
        <v>422</v>
      </c>
    </row>
    <row r="166" spans="1:1" x14ac:dyDescent="0.15">
      <c r="A166" s="22" t="s">
        <v>427</v>
      </c>
    </row>
    <row r="167" spans="1:1" x14ac:dyDescent="0.15">
      <c r="A167" s="22" t="s">
        <v>172</v>
      </c>
    </row>
    <row r="168" spans="1:1" x14ac:dyDescent="0.15">
      <c r="A168" s="22" t="s">
        <v>311</v>
      </c>
    </row>
    <row r="169" spans="1:1" x14ac:dyDescent="0.15">
      <c r="A169" s="22" t="s">
        <v>555</v>
      </c>
    </row>
    <row r="170" spans="1:1" x14ac:dyDescent="0.15">
      <c r="A170" s="22" t="s">
        <v>471</v>
      </c>
    </row>
    <row r="171" spans="1:1" x14ac:dyDescent="0.15">
      <c r="A171" s="22" t="s">
        <v>566</v>
      </c>
    </row>
    <row r="172" spans="1:1" x14ac:dyDescent="0.15">
      <c r="A172" s="22" t="s">
        <v>483</v>
      </c>
    </row>
    <row r="173" spans="1:1" x14ac:dyDescent="0.15">
      <c r="A173" s="22" t="s">
        <v>550</v>
      </c>
    </row>
    <row r="174" spans="1:1" x14ac:dyDescent="0.15">
      <c r="A174" s="22" t="s">
        <v>509</v>
      </c>
    </row>
    <row r="175" spans="1:1" x14ac:dyDescent="0.15">
      <c r="A175" s="22" t="s">
        <v>569</v>
      </c>
    </row>
    <row r="176" spans="1:1" x14ac:dyDescent="0.15">
      <c r="A176" s="22" t="s">
        <v>570</v>
      </c>
    </row>
    <row r="177" spans="1:1" x14ac:dyDescent="0.15">
      <c r="A177" s="22" t="s">
        <v>568</v>
      </c>
    </row>
    <row r="178" spans="1:1" x14ac:dyDescent="0.15">
      <c r="A178" s="22" t="s">
        <v>354</v>
      </c>
    </row>
    <row r="179" spans="1:1" x14ac:dyDescent="0.15">
      <c r="A179" s="22" t="s">
        <v>559</v>
      </c>
    </row>
    <row r="180" spans="1:1" x14ac:dyDescent="0.15">
      <c r="A180" s="22" t="s">
        <v>467</v>
      </c>
    </row>
    <row r="181" spans="1:1" x14ac:dyDescent="0.15">
      <c r="A181" s="22" t="s">
        <v>107</v>
      </c>
    </row>
    <row r="182" spans="1:1" x14ac:dyDescent="0.15">
      <c r="A182" s="22" t="s">
        <v>502</v>
      </c>
    </row>
    <row r="183" spans="1:1" x14ac:dyDescent="0.15">
      <c r="A183" s="22" t="s">
        <v>554</v>
      </c>
    </row>
    <row r="184" spans="1:1" x14ac:dyDescent="0.15">
      <c r="A184" s="22" t="s">
        <v>143</v>
      </c>
    </row>
    <row r="185" spans="1:1" x14ac:dyDescent="0.15">
      <c r="A185" s="22" t="s">
        <v>518</v>
      </c>
    </row>
    <row r="186" spans="1:1" x14ac:dyDescent="0.15">
      <c r="A186" s="22" t="s">
        <v>517</v>
      </c>
    </row>
    <row r="187" spans="1:1" x14ac:dyDescent="0.15">
      <c r="A187" s="22" t="s">
        <v>553</v>
      </c>
    </row>
    <row r="188" spans="1:1" x14ac:dyDescent="0.15">
      <c r="A188" s="22" t="s">
        <v>544</v>
      </c>
    </row>
    <row r="189" spans="1:1" x14ac:dyDescent="0.15">
      <c r="A189" s="22" t="s">
        <v>416</v>
      </c>
    </row>
    <row r="190" spans="1:1" x14ac:dyDescent="0.15">
      <c r="A190" s="22" t="s">
        <v>530</v>
      </c>
    </row>
    <row r="191" spans="1:1" x14ac:dyDescent="0.15">
      <c r="A191" s="22" t="s">
        <v>536</v>
      </c>
    </row>
    <row r="192" spans="1:1" x14ac:dyDescent="0.15">
      <c r="A192" s="22" t="s">
        <v>328</v>
      </c>
    </row>
    <row r="193" spans="1:1" x14ac:dyDescent="0.15">
      <c r="A193" s="22" t="s">
        <v>360</v>
      </c>
    </row>
    <row r="194" spans="1:1" x14ac:dyDescent="0.15">
      <c r="A194" s="22" t="s">
        <v>497</v>
      </c>
    </row>
    <row r="195" spans="1:1" x14ac:dyDescent="0.15">
      <c r="A195" s="22" t="s">
        <v>461</v>
      </c>
    </row>
    <row r="196" spans="1:1" x14ac:dyDescent="0.15">
      <c r="A196" s="22" t="s">
        <v>161</v>
      </c>
    </row>
    <row r="197" spans="1:1" x14ac:dyDescent="0.15">
      <c r="A197" s="22" t="s">
        <v>539</v>
      </c>
    </row>
    <row r="198" spans="1:1" x14ac:dyDescent="0.15">
      <c r="A198" s="22" t="s">
        <v>548</v>
      </c>
    </row>
    <row r="199" spans="1:1" x14ac:dyDescent="0.15">
      <c r="A199" s="22" t="s">
        <v>431</v>
      </c>
    </row>
    <row r="200" spans="1:1" x14ac:dyDescent="0.15">
      <c r="A200" s="22" t="s">
        <v>404</v>
      </c>
    </row>
    <row r="201" spans="1:1" x14ac:dyDescent="0.15">
      <c r="A201" s="22" t="s">
        <v>440</v>
      </c>
    </row>
    <row r="202" spans="1:1" x14ac:dyDescent="0.15">
      <c r="A202" s="22" t="s">
        <v>522</v>
      </c>
    </row>
    <row r="203" spans="1:1" x14ac:dyDescent="0.15">
      <c r="A203" s="22" t="s">
        <v>317</v>
      </c>
    </row>
    <row r="204" spans="1:1" x14ac:dyDescent="0.15">
      <c r="A204" s="22" t="s">
        <v>549</v>
      </c>
    </row>
    <row r="205" spans="1:1" x14ac:dyDescent="0.15">
      <c r="A205" s="22" t="s">
        <v>171</v>
      </c>
    </row>
    <row r="206" spans="1:1" x14ac:dyDescent="0.15">
      <c r="A206" s="22" t="s">
        <v>501</v>
      </c>
    </row>
    <row r="207" spans="1:1" x14ac:dyDescent="0.15">
      <c r="A207" s="22" t="s">
        <v>366</v>
      </c>
    </row>
    <row r="208" spans="1:1" x14ac:dyDescent="0.15">
      <c r="A208" s="22" t="s">
        <v>428</v>
      </c>
    </row>
    <row r="209" spans="1:1" x14ac:dyDescent="0.15">
      <c r="A209" s="22" t="s">
        <v>324</v>
      </c>
    </row>
    <row r="210" spans="1:1" x14ac:dyDescent="0.15">
      <c r="A210" s="22" t="s">
        <v>557</v>
      </c>
    </row>
    <row r="211" spans="1:1" x14ac:dyDescent="0.15">
      <c r="A211" s="22" t="s">
        <v>444</v>
      </c>
    </row>
    <row r="212" spans="1:1" x14ac:dyDescent="0.15">
      <c r="A212" s="22" t="s">
        <v>362</v>
      </c>
    </row>
    <row r="213" spans="1:1" x14ac:dyDescent="0.15">
      <c r="A213" s="22" t="s">
        <v>347</v>
      </c>
    </row>
    <row r="214" spans="1:1" x14ac:dyDescent="0.15">
      <c r="A214" s="22" t="s">
        <v>498</v>
      </c>
    </row>
    <row r="215" spans="1:1" x14ac:dyDescent="0.15">
      <c r="A215" s="22" t="s">
        <v>507</v>
      </c>
    </row>
    <row r="216" spans="1:1" x14ac:dyDescent="0.15">
      <c r="A216" s="22" t="s">
        <v>409</v>
      </c>
    </row>
    <row r="217" spans="1:1" x14ac:dyDescent="0.15">
      <c r="A217" s="22" t="s">
        <v>445</v>
      </c>
    </row>
    <row r="218" spans="1:1" x14ac:dyDescent="0.15">
      <c r="A218" s="22" t="s">
        <v>306</v>
      </c>
    </row>
    <row r="219" spans="1:1" x14ac:dyDescent="0.15">
      <c r="A219" s="22" t="s">
        <v>494</v>
      </c>
    </row>
    <row r="220" spans="1:1" x14ac:dyDescent="0.15">
      <c r="A220" s="22" t="s">
        <v>436</v>
      </c>
    </row>
    <row r="221" spans="1:1" x14ac:dyDescent="0.15">
      <c r="A221" s="22" t="s">
        <v>490</v>
      </c>
    </row>
    <row r="222" spans="1:1" x14ac:dyDescent="0.15">
      <c r="A222" s="22" t="s">
        <v>469</v>
      </c>
    </row>
    <row r="223" spans="1:1" x14ac:dyDescent="0.15">
      <c r="A223" s="22" t="s">
        <v>564</v>
      </c>
    </row>
    <row r="224" spans="1:1" x14ac:dyDescent="0.15">
      <c r="A224" s="22" t="s">
        <v>506</v>
      </c>
    </row>
    <row r="225" spans="1:1" x14ac:dyDescent="0.15">
      <c r="A225" s="22" t="s">
        <v>330</v>
      </c>
    </row>
    <row r="226" spans="1:1" x14ac:dyDescent="0.15">
      <c r="A226" s="22" t="s">
        <v>173</v>
      </c>
    </row>
    <row r="227" spans="1:1" x14ac:dyDescent="0.15">
      <c r="A227" s="22" t="s">
        <v>423</v>
      </c>
    </row>
    <row r="228" spans="1:1" x14ac:dyDescent="0.15">
      <c r="A228" s="22" t="s">
        <v>419</v>
      </c>
    </row>
    <row r="229" spans="1:1" x14ac:dyDescent="0.15">
      <c r="A229" s="22" t="s">
        <v>561</v>
      </c>
    </row>
    <row r="230" spans="1:1" x14ac:dyDescent="0.15">
      <c r="A230" s="22" t="s">
        <v>565</v>
      </c>
    </row>
    <row r="231" spans="1:1" x14ac:dyDescent="0.15">
      <c r="A231" s="22" t="s">
        <v>541</v>
      </c>
    </row>
    <row r="232" spans="1:1" x14ac:dyDescent="0.15">
      <c r="A232" s="22" t="s">
        <v>492</v>
      </c>
    </row>
    <row r="233" spans="1:1" x14ac:dyDescent="0.15">
      <c r="A233" s="22" t="s">
        <v>511</v>
      </c>
    </row>
    <row r="234" spans="1:1" x14ac:dyDescent="0.15">
      <c r="A234" s="22" t="s">
        <v>538</v>
      </c>
    </row>
    <row r="235" spans="1:1" x14ac:dyDescent="0.15">
      <c r="A235" s="22" t="s">
        <v>443</v>
      </c>
    </row>
    <row r="236" spans="1:1" x14ac:dyDescent="0.15">
      <c r="A236" s="22" t="s">
        <v>430</v>
      </c>
    </row>
    <row r="237" spans="1:1" x14ac:dyDescent="0.15">
      <c r="A237" s="22" t="s">
        <v>482</v>
      </c>
    </row>
    <row r="238" spans="1:1" x14ac:dyDescent="0.15">
      <c r="A238" s="22" t="s">
        <v>452</v>
      </c>
    </row>
    <row r="239" spans="1:1" x14ac:dyDescent="0.15">
      <c r="A239" s="22" t="s">
        <v>292</v>
      </c>
    </row>
    <row r="240" spans="1:1" x14ac:dyDescent="0.15">
      <c r="A240" s="22" t="s">
        <v>528</v>
      </c>
    </row>
    <row r="241" spans="1:1" x14ac:dyDescent="0.15">
      <c r="A241" s="22" t="s">
        <v>465</v>
      </c>
    </row>
    <row r="242" spans="1:1" x14ac:dyDescent="0.15">
      <c r="A242" s="22" t="s">
        <v>477</v>
      </c>
    </row>
    <row r="243" spans="1:1" x14ac:dyDescent="0.15">
      <c r="A243" s="22" t="s">
        <v>350</v>
      </c>
    </row>
    <row r="244" spans="1:1" x14ac:dyDescent="0.15">
      <c r="A244" s="22" t="s">
        <v>508</v>
      </c>
    </row>
    <row r="245" spans="1:1" x14ac:dyDescent="0.15">
      <c r="A245" s="22" t="s">
        <v>487</v>
      </c>
    </row>
    <row r="246" spans="1:1" x14ac:dyDescent="0.15">
      <c r="A246" s="22" t="s">
        <v>562</v>
      </c>
    </row>
    <row r="247" spans="1:1" x14ac:dyDescent="0.15">
      <c r="A247" s="22" t="s">
        <v>432</v>
      </c>
    </row>
    <row r="248" spans="1:1" x14ac:dyDescent="0.15">
      <c r="A248" s="22" t="s">
        <v>137</v>
      </c>
    </row>
    <row r="249" spans="1:1" x14ac:dyDescent="0.15">
      <c r="A249" s="22" t="s">
        <v>454</v>
      </c>
    </row>
    <row r="250" spans="1:1" x14ac:dyDescent="0.15">
      <c r="A250" s="22" t="s">
        <v>462</v>
      </c>
    </row>
    <row r="251" spans="1:1" x14ac:dyDescent="0.15">
      <c r="A251" s="22" t="s">
        <v>533</v>
      </c>
    </row>
    <row r="252" spans="1:1" x14ac:dyDescent="0.15">
      <c r="A252" s="22" t="s">
        <v>534</v>
      </c>
    </row>
    <row r="253" spans="1:1" x14ac:dyDescent="0.15">
      <c r="A253" s="22" t="s">
        <v>413</v>
      </c>
    </row>
    <row r="254" spans="1:1" x14ac:dyDescent="0.15">
      <c r="A254" s="22" t="s">
        <v>425</v>
      </c>
    </row>
    <row r="255" spans="1:1" x14ac:dyDescent="0.15">
      <c r="A255" s="22" t="s">
        <v>301</v>
      </c>
    </row>
    <row r="256" spans="1:1" x14ac:dyDescent="0.15">
      <c r="A256" s="22" t="s">
        <v>457</v>
      </c>
    </row>
    <row r="257" spans="1:1" x14ac:dyDescent="0.15">
      <c r="A257" s="22" t="s">
        <v>332</v>
      </c>
    </row>
    <row r="258" spans="1:1" x14ac:dyDescent="0.15">
      <c r="A258" s="22" t="s">
        <v>556</v>
      </c>
    </row>
    <row r="259" spans="1:1" x14ac:dyDescent="0.15">
      <c r="A259" s="22" t="s">
        <v>540</v>
      </c>
    </row>
    <row r="260" spans="1:1" x14ac:dyDescent="0.15">
      <c r="A260" s="22" t="s">
        <v>438</v>
      </c>
    </row>
    <row r="261" spans="1:1" x14ac:dyDescent="0.15">
      <c r="A261" s="22" t="s">
        <v>437</v>
      </c>
    </row>
    <row r="262" spans="1:1" x14ac:dyDescent="0.15">
      <c r="A262" s="22" t="s">
        <v>435</v>
      </c>
    </row>
    <row r="263" spans="1:1" x14ac:dyDescent="0.15">
      <c r="A263" s="22" t="s">
        <v>426</v>
      </c>
    </row>
    <row r="264" spans="1:1" x14ac:dyDescent="0.15">
      <c r="A264" s="22" t="s">
        <v>297</v>
      </c>
    </row>
    <row r="265" spans="1:1" x14ac:dyDescent="0.15">
      <c r="A265" s="22" t="s">
        <v>364</v>
      </c>
    </row>
    <row r="266" spans="1:1" x14ac:dyDescent="0.15">
      <c r="A266" s="22" t="s">
        <v>475</v>
      </c>
    </row>
    <row r="267" spans="1:1" x14ac:dyDescent="0.15">
      <c r="A267" s="22" t="s">
        <v>341</v>
      </c>
    </row>
    <row r="268" spans="1:1" x14ac:dyDescent="0.15">
      <c r="A268" s="22" t="s">
        <v>447</v>
      </c>
    </row>
    <row r="269" spans="1:1" x14ac:dyDescent="0.15">
      <c r="A269" s="22" t="s">
        <v>176</v>
      </c>
    </row>
    <row r="270" spans="1:1" x14ac:dyDescent="0.15">
      <c r="A270" s="22" t="s">
        <v>525</v>
      </c>
    </row>
    <row r="271" spans="1:1" x14ac:dyDescent="0.15">
      <c r="A271" s="22" t="s">
        <v>442</v>
      </c>
    </row>
    <row r="272" spans="1:1" x14ac:dyDescent="0.15">
      <c r="A272" s="22" t="s">
        <v>448</v>
      </c>
    </row>
    <row r="273" spans="1:1" x14ac:dyDescent="0.15">
      <c r="A273" s="22" t="s">
        <v>132</v>
      </c>
    </row>
    <row r="274" spans="1:1" x14ac:dyDescent="0.15">
      <c r="A274" s="22" t="s">
        <v>339</v>
      </c>
    </row>
    <row r="275" spans="1:1" x14ac:dyDescent="0.15">
      <c r="A275" s="22" t="s">
        <v>514</v>
      </c>
    </row>
    <row r="276" spans="1:1" x14ac:dyDescent="0.15">
      <c r="A276" s="22" t="s">
        <v>446</v>
      </c>
    </row>
    <row r="277" spans="1:1" x14ac:dyDescent="0.15">
      <c r="A277" s="22" t="s">
        <v>558</v>
      </c>
    </row>
    <row r="278" spans="1:1" x14ac:dyDescent="0.15">
      <c r="A278" s="22" t="s">
        <v>407</v>
      </c>
    </row>
    <row r="279" spans="1:1" x14ac:dyDescent="0.15">
      <c r="A279" s="22" t="s">
        <v>133</v>
      </c>
    </row>
    <row r="280" spans="1:1" x14ac:dyDescent="0.15">
      <c r="A280" s="22" t="s">
        <v>474</v>
      </c>
    </row>
    <row r="281" spans="1:1" x14ac:dyDescent="0.15">
      <c r="A281" s="22" t="s">
        <v>420</v>
      </c>
    </row>
    <row r="282" spans="1:1" x14ac:dyDescent="0.15">
      <c r="A282" s="22" t="s">
        <v>470</v>
      </c>
    </row>
    <row r="283" spans="1:1" x14ac:dyDescent="0.15">
      <c r="A283" s="22" t="s">
        <v>450</v>
      </c>
    </row>
    <row r="284" spans="1:1" x14ac:dyDescent="0.15">
      <c r="A284" s="22" t="s">
        <v>309</v>
      </c>
    </row>
    <row r="285" spans="1:1" x14ac:dyDescent="0.15">
      <c r="A285" s="22" t="s">
        <v>480</v>
      </c>
    </row>
    <row r="286" spans="1:1" x14ac:dyDescent="0.15">
      <c r="A286" s="22" t="s">
        <v>164</v>
      </c>
    </row>
    <row r="287" spans="1:1" x14ac:dyDescent="0.15">
      <c r="A287" s="22" t="s">
        <v>535</v>
      </c>
    </row>
    <row r="288" spans="1:1" x14ac:dyDescent="0.15">
      <c r="A288" s="22" t="s">
        <v>321</v>
      </c>
    </row>
    <row r="289" spans="1:1" x14ac:dyDescent="0.15">
      <c r="A289" s="22" t="s">
        <v>371</v>
      </c>
    </row>
    <row r="290" spans="1:1" x14ac:dyDescent="0.15">
      <c r="A290" s="22" t="s">
        <v>529</v>
      </c>
    </row>
    <row r="291" spans="1:1" x14ac:dyDescent="0.15">
      <c r="A291" s="22" t="s">
        <v>531</v>
      </c>
    </row>
    <row r="292" spans="1:1" x14ac:dyDescent="0.15">
      <c r="A292" s="22" t="s">
        <v>128</v>
      </c>
    </row>
    <row r="293" spans="1:1" x14ac:dyDescent="0.15">
      <c r="A293" s="22" t="s">
        <v>486</v>
      </c>
    </row>
    <row r="294" spans="1:1" x14ac:dyDescent="0.15">
      <c r="A294" s="22" t="s">
        <v>521</v>
      </c>
    </row>
    <row r="295" spans="1:1" x14ac:dyDescent="0.15">
      <c r="A295" s="22" t="s">
        <v>459</v>
      </c>
    </row>
    <row r="296" spans="1:1" x14ac:dyDescent="0.15">
      <c r="A296" s="22" t="s">
        <v>456</v>
      </c>
    </row>
    <row r="297" spans="1:1" x14ac:dyDescent="0.15">
      <c r="A297" s="22" t="s">
        <v>122</v>
      </c>
    </row>
    <row r="298" spans="1:1" x14ac:dyDescent="0.15">
      <c r="A298" s="22" t="s">
        <v>421</v>
      </c>
    </row>
    <row r="299" spans="1:1" x14ac:dyDescent="0.15">
      <c r="A299" s="22" t="s">
        <v>523</v>
      </c>
    </row>
    <row r="300" spans="1:1" x14ac:dyDescent="0.15">
      <c r="A300" s="22" t="s">
        <v>175</v>
      </c>
    </row>
    <row r="301" spans="1:1" x14ac:dyDescent="0.15">
      <c r="A301" s="22" t="s">
        <v>299</v>
      </c>
    </row>
    <row r="302" spans="1:1" x14ac:dyDescent="0.15">
      <c r="A302" s="22" t="s">
        <v>547</v>
      </c>
    </row>
    <row r="303" spans="1:1" x14ac:dyDescent="0.15">
      <c r="A303" s="22" t="s">
        <v>489</v>
      </c>
    </row>
    <row r="304" spans="1:1" x14ac:dyDescent="0.15">
      <c r="A304" s="22" t="s">
        <v>468</v>
      </c>
    </row>
    <row r="305" spans="1:1" x14ac:dyDescent="0.15">
      <c r="A305" s="22" t="s">
        <v>460</v>
      </c>
    </row>
    <row r="306" spans="1:1" x14ac:dyDescent="0.15">
      <c r="A306" s="22" t="s">
        <v>406</v>
      </c>
    </row>
    <row r="307" spans="1:1" x14ac:dyDescent="0.15">
      <c r="A307" s="22" t="s">
        <v>111</v>
      </c>
    </row>
    <row r="308" spans="1:1" x14ac:dyDescent="0.15">
      <c r="A308" s="22" t="s">
        <v>418</v>
      </c>
    </row>
    <row r="309" spans="1:1" x14ac:dyDescent="0.15">
      <c r="A309" s="22" t="s">
        <v>136</v>
      </c>
    </row>
    <row r="310" spans="1:1" x14ac:dyDescent="0.15">
      <c r="A310" s="22" t="s">
        <v>434</v>
      </c>
    </row>
    <row r="311" spans="1:1" x14ac:dyDescent="0.15">
      <c r="A311" s="22" t="s">
        <v>417</v>
      </c>
    </row>
    <row r="312" spans="1:1" x14ac:dyDescent="0.15">
      <c r="A312" s="22" t="s">
        <v>410</v>
      </c>
    </row>
    <row r="313" spans="1:1" x14ac:dyDescent="0.15">
      <c r="A313" s="22" t="s">
        <v>424</v>
      </c>
    </row>
    <row r="314" spans="1:1" x14ac:dyDescent="0.15">
      <c r="A314" s="22" t="s">
        <v>414</v>
      </c>
    </row>
    <row r="315" spans="1:1" x14ac:dyDescent="0.15">
      <c r="A315" s="22" t="s">
        <v>113</v>
      </c>
    </row>
    <row r="316" spans="1:1" x14ac:dyDescent="0.15">
      <c r="A316" s="22" t="s">
        <v>451</v>
      </c>
    </row>
    <row r="317" spans="1:1" x14ac:dyDescent="0.15">
      <c r="A317" s="22" t="s">
        <v>481</v>
      </c>
    </row>
    <row r="318" spans="1:1" x14ac:dyDescent="0.15">
      <c r="A318" s="22" t="s">
        <v>503</v>
      </c>
    </row>
    <row r="319" spans="1:1" x14ac:dyDescent="0.15">
      <c r="A319" s="22" t="s">
        <v>551</v>
      </c>
    </row>
    <row r="320" spans="1:1" x14ac:dyDescent="0.15">
      <c r="A320" s="22" t="s">
        <v>439</v>
      </c>
    </row>
    <row r="321" spans="1:1" x14ac:dyDescent="0.15">
      <c r="A321" s="22" t="s">
        <v>478</v>
      </c>
    </row>
    <row r="322" spans="1:1" x14ac:dyDescent="0.15">
      <c r="A322" s="22" t="s">
        <v>532</v>
      </c>
    </row>
    <row r="323" spans="1:1" x14ac:dyDescent="0.15">
      <c r="A323" s="22" t="s">
        <v>560</v>
      </c>
    </row>
    <row r="324" spans="1:1" x14ac:dyDescent="0.15">
      <c r="A324" s="22" t="s">
        <v>563</v>
      </c>
    </row>
    <row r="325" spans="1:1" x14ac:dyDescent="0.15">
      <c r="A325" s="22" t="s">
        <v>500</v>
      </c>
    </row>
    <row r="326" spans="1:1" x14ac:dyDescent="0.15">
      <c r="A326" s="22" t="s">
        <v>449</v>
      </c>
    </row>
    <row r="327" spans="1:1" x14ac:dyDescent="0.15">
      <c r="A327" s="22" t="s">
        <v>408</v>
      </c>
    </row>
    <row r="328" spans="1:1" x14ac:dyDescent="0.15">
      <c r="A328" s="22" t="s">
        <v>552</v>
      </c>
    </row>
  </sheetData>
  <autoFilter ref="A1:E50">
    <sortState ref="A2:E49">
      <sortCondition descending="1" ref="B1:B50"/>
    </sortState>
  </autoFilter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I19"/>
  <sheetViews>
    <sheetView zoomScaleNormal="100" workbookViewId="0">
      <selection activeCell="F13" sqref="F13"/>
    </sheetView>
  </sheetViews>
  <sheetFormatPr defaultRowHeight="13.5" x14ac:dyDescent="0.15"/>
  <cols>
    <col min="2" max="3" width="15.5" style="25" customWidth="1"/>
    <col min="4" max="5" width="8.875" style="25" customWidth="1"/>
    <col min="6" max="6" width="11.625" customWidth="1"/>
    <col min="7" max="8" width="6.5" customWidth="1"/>
    <col min="9" max="9" width="17.5" customWidth="1"/>
  </cols>
  <sheetData>
    <row r="1" spans="2:9" x14ac:dyDescent="0.15">
      <c r="B1" s="9" t="s">
        <v>55</v>
      </c>
      <c r="C1" s="9" t="s">
        <v>56</v>
      </c>
      <c r="D1" s="26" t="s">
        <v>390</v>
      </c>
      <c r="E1" s="26" t="s">
        <v>391</v>
      </c>
      <c r="F1" s="9" t="s">
        <v>384</v>
      </c>
      <c r="G1" s="15" t="s">
        <v>55</v>
      </c>
      <c r="H1" s="15" t="s">
        <v>56</v>
      </c>
      <c r="I1" s="15" t="s">
        <v>386</v>
      </c>
    </row>
    <row r="2" spans="2:9" x14ac:dyDescent="0.15">
      <c r="B2" s="27" t="s">
        <v>43</v>
      </c>
      <c r="C2" s="27" t="s">
        <v>24</v>
      </c>
      <c r="D2" s="26">
        <v>0.32653061224489793</v>
      </c>
      <c r="E2" s="26">
        <v>0.4</v>
      </c>
      <c r="F2" s="9">
        <v>5</v>
      </c>
      <c r="G2" s="9">
        <v>23</v>
      </c>
      <c r="H2" s="9">
        <v>26</v>
      </c>
      <c r="I2" s="26">
        <v>0.21739130434782608</v>
      </c>
    </row>
    <row r="3" spans="2:9" x14ac:dyDescent="0.15">
      <c r="B3" s="27" t="s">
        <v>661</v>
      </c>
      <c r="C3" s="27" t="s">
        <v>662</v>
      </c>
      <c r="D3" s="26">
        <v>0.34285714285714286</v>
      </c>
      <c r="E3" s="26">
        <v>0.3</v>
      </c>
      <c r="F3" s="9">
        <v>3</v>
      </c>
      <c r="G3" s="9">
        <v>12</v>
      </c>
      <c r="H3" s="9">
        <v>23</v>
      </c>
      <c r="I3" s="26">
        <v>0.25</v>
      </c>
    </row>
    <row r="4" spans="2:9" x14ac:dyDescent="0.15">
      <c r="B4" s="27" t="s">
        <v>663</v>
      </c>
      <c r="C4" s="27" t="s">
        <v>660</v>
      </c>
      <c r="D4" s="26">
        <v>0.34285714285714286</v>
      </c>
      <c r="E4" s="26">
        <v>0.18181818181818182</v>
      </c>
      <c r="F4" s="9">
        <v>2</v>
      </c>
      <c r="G4" s="9">
        <v>9</v>
      </c>
      <c r="H4" s="9">
        <v>26</v>
      </c>
      <c r="I4" s="26">
        <v>0.22222222222222221</v>
      </c>
    </row>
    <row r="5" spans="2:9" x14ac:dyDescent="0.15">
      <c r="B5" s="27" t="s">
        <v>663</v>
      </c>
      <c r="C5" s="27" t="s">
        <v>664</v>
      </c>
      <c r="D5" s="26">
        <v>0.42105263157894735</v>
      </c>
      <c r="E5" s="26">
        <v>0.30769230769230771</v>
      </c>
      <c r="F5" s="9">
        <v>2</v>
      </c>
      <c r="G5" s="9">
        <v>9</v>
      </c>
      <c r="H5" s="9">
        <v>10</v>
      </c>
      <c r="I5" s="26">
        <v>0.22222222222222221</v>
      </c>
    </row>
    <row r="6" spans="2:9" x14ac:dyDescent="0.15">
      <c r="B6" s="27" t="s">
        <v>664</v>
      </c>
      <c r="C6" s="27" t="s">
        <v>660</v>
      </c>
      <c r="D6" s="26">
        <v>0.3888888888888889</v>
      </c>
      <c r="E6" s="26">
        <v>0.10526315789473684</v>
      </c>
      <c r="F6" s="9">
        <v>1</v>
      </c>
      <c r="G6" s="9">
        <v>10</v>
      </c>
      <c r="H6" s="9">
        <v>26</v>
      </c>
      <c r="I6" s="26">
        <v>0.1</v>
      </c>
    </row>
    <row r="7" spans="2:9" x14ac:dyDescent="0.15">
      <c r="B7" s="27" t="s">
        <v>664</v>
      </c>
      <c r="C7" s="27" t="s">
        <v>662</v>
      </c>
      <c r="D7" s="26">
        <v>0.18181818181818182</v>
      </c>
      <c r="E7" s="26">
        <v>0</v>
      </c>
      <c r="F7" s="9">
        <v>0</v>
      </c>
      <c r="G7" s="9">
        <v>10</v>
      </c>
      <c r="H7" s="9">
        <v>23</v>
      </c>
      <c r="I7" s="26">
        <v>0</v>
      </c>
    </row>
    <row r="8" spans="2:9" x14ac:dyDescent="0.15">
      <c r="B8" s="27" t="s">
        <v>665</v>
      </c>
      <c r="C8" s="27" t="s">
        <v>660</v>
      </c>
      <c r="D8" s="26">
        <v>0.17647058823529413</v>
      </c>
      <c r="E8" s="26">
        <v>0.21052631578947367</v>
      </c>
      <c r="F8" s="9">
        <v>2</v>
      </c>
      <c r="G8" s="9">
        <v>8</v>
      </c>
      <c r="H8" s="9">
        <v>26</v>
      </c>
      <c r="I8" s="26">
        <v>0.25</v>
      </c>
    </row>
    <row r="9" spans="2:9" x14ac:dyDescent="0.15">
      <c r="B9" s="27" t="s">
        <v>666</v>
      </c>
      <c r="C9" s="27" t="s">
        <v>661</v>
      </c>
      <c r="D9" s="26">
        <v>0.3</v>
      </c>
      <c r="E9" s="26">
        <v>0</v>
      </c>
      <c r="F9" s="9">
        <v>0</v>
      </c>
      <c r="G9" s="9">
        <v>8</v>
      </c>
      <c r="H9" s="9">
        <v>12</v>
      </c>
      <c r="I9" s="26">
        <v>0</v>
      </c>
    </row>
    <row r="10" spans="2:9" x14ac:dyDescent="0.15">
      <c r="B10" s="27" t="s">
        <v>179</v>
      </c>
      <c r="C10" s="27" t="s">
        <v>178</v>
      </c>
      <c r="D10" s="26">
        <v>0.3</v>
      </c>
      <c r="E10" s="26">
        <v>0</v>
      </c>
      <c r="F10" s="9">
        <v>0</v>
      </c>
      <c r="G10" s="9">
        <v>8</v>
      </c>
      <c r="H10" s="9">
        <v>12</v>
      </c>
      <c r="I10" s="26">
        <v>0</v>
      </c>
    </row>
    <row r="11" spans="2:9" x14ac:dyDescent="0.15">
      <c r="B11" s="27" t="s">
        <v>21</v>
      </c>
      <c r="C11" s="27" t="s">
        <v>180</v>
      </c>
      <c r="D11" s="26">
        <v>0.30769230769230771</v>
      </c>
      <c r="E11" s="26">
        <v>0</v>
      </c>
      <c r="F11" s="9">
        <v>0</v>
      </c>
      <c r="G11" s="9">
        <v>5</v>
      </c>
      <c r="H11" s="9">
        <v>8</v>
      </c>
      <c r="I11" s="26">
        <v>0</v>
      </c>
    </row>
    <row r="12" spans="2:9" x14ac:dyDescent="0.15">
      <c r="B12" s="27"/>
      <c r="C12" s="27"/>
      <c r="D12" s="26"/>
      <c r="E12" s="26"/>
      <c r="F12" s="9"/>
      <c r="G12" s="9"/>
      <c r="H12" s="9"/>
      <c r="I12" s="26"/>
    </row>
    <row r="13" spans="2:9" x14ac:dyDescent="0.15">
      <c r="B13" s="27"/>
      <c r="C13" s="27"/>
      <c r="D13" s="26"/>
      <c r="E13" s="26"/>
      <c r="F13" s="9"/>
      <c r="G13" s="9"/>
      <c r="H13" s="9"/>
      <c r="I13" s="26"/>
    </row>
    <row r="14" spans="2:9" x14ac:dyDescent="0.15">
      <c r="B14" s="27"/>
      <c r="C14" s="27"/>
      <c r="D14" s="26"/>
      <c r="E14" s="26"/>
      <c r="F14" s="9"/>
      <c r="G14" s="9"/>
      <c r="H14" s="9"/>
      <c r="I14" s="26"/>
    </row>
    <row r="15" spans="2:9" x14ac:dyDescent="0.15">
      <c r="B15" s="27"/>
      <c r="C15" s="27"/>
      <c r="D15" s="26"/>
      <c r="E15" s="26"/>
      <c r="F15" s="9"/>
      <c r="G15" s="9"/>
      <c r="H15" s="9"/>
      <c r="I15" s="26"/>
    </row>
    <row r="16" spans="2:9" x14ac:dyDescent="0.15">
      <c r="B16" s="27"/>
      <c r="C16" s="27"/>
      <c r="D16" s="26"/>
      <c r="E16" s="26"/>
      <c r="F16" s="9"/>
      <c r="G16" s="9"/>
      <c r="H16" s="9"/>
      <c r="I16" s="26"/>
    </row>
    <row r="17" spans="2:9" x14ac:dyDescent="0.15">
      <c r="B17" s="27"/>
      <c r="C17" s="27"/>
      <c r="D17" s="26"/>
      <c r="E17" s="26"/>
      <c r="F17" s="9"/>
      <c r="G17" s="9"/>
      <c r="H17" s="9"/>
      <c r="I17" s="26"/>
    </row>
    <row r="18" spans="2:9" x14ac:dyDescent="0.15">
      <c r="B18" s="27"/>
      <c r="C18" s="27"/>
      <c r="D18" s="26"/>
      <c r="E18" s="26"/>
      <c r="F18" s="9"/>
      <c r="G18" s="9"/>
      <c r="H18" s="9"/>
      <c r="I18" s="26"/>
    </row>
    <row r="19" spans="2:9" x14ac:dyDescent="0.15">
      <c r="B19" s="27"/>
      <c r="C19" s="27"/>
      <c r="D19" s="26"/>
      <c r="E19" s="26"/>
      <c r="F19" s="9"/>
      <c r="G19" s="9"/>
      <c r="H19" s="9"/>
      <c r="I19" s="26"/>
    </row>
  </sheetData>
  <autoFilter ref="B1:I18">
    <sortState ref="B2:I18">
      <sortCondition descending="1" ref="E1:E18"/>
    </sortState>
  </autoFilter>
  <sortState ref="B2:D18">
    <sortCondition descending="1" ref="B2"/>
  </sortState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I19"/>
  <sheetViews>
    <sheetView zoomScaleNormal="100" workbookViewId="0">
      <selection activeCell="E17" sqref="E17"/>
    </sheetView>
  </sheetViews>
  <sheetFormatPr defaultRowHeight="13.5" x14ac:dyDescent="0.15"/>
  <cols>
    <col min="2" max="3" width="15.5" style="25" customWidth="1"/>
    <col min="4" max="5" width="8.875" style="25" customWidth="1"/>
    <col min="6" max="6" width="11.625" customWidth="1"/>
    <col min="7" max="8" width="6.5" customWidth="1"/>
    <col min="9" max="9" width="17.5" customWidth="1"/>
  </cols>
  <sheetData>
    <row r="1" spans="2:9" x14ac:dyDescent="0.15">
      <c r="B1" s="9" t="s">
        <v>55</v>
      </c>
      <c r="C1" s="9" t="s">
        <v>56</v>
      </c>
      <c r="D1" s="26" t="s">
        <v>390</v>
      </c>
      <c r="E1" s="26" t="s">
        <v>391</v>
      </c>
      <c r="F1" s="9" t="s">
        <v>384</v>
      </c>
      <c r="G1" s="15" t="s">
        <v>55</v>
      </c>
      <c r="H1" s="15" t="s">
        <v>56</v>
      </c>
      <c r="I1" s="15" t="s">
        <v>386</v>
      </c>
    </row>
    <row r="2" spans="2:9" x14ac:dyDescent="0.15">
      <c r="B2" s="27" t="s">
        <v>678</v>
      </c>
      <c r="C2" s="27" t="s">
        <v>291</v>
      </c>
      <c r="D2" s="26">
        <v>0.18181818181818182</v>
      </c>
      <c r="E2" s="26">
        <v>0.11764705882352941</v>
      </c>
      <c r="F2" s="9">
        <v>1</v>
      </c>
      <c r="G2" s="9">
        <v>16</v>
      </c>
      <c r="H2" s="9">
        <v>17</v>
      </c>
      <c r="I2" s="26">
        <v>6.25E-2</v>
      </c>
    </row>
    <row r="3" spans="2:9" x14ac:dyDescent="0.15">
      <c r="B3" s="27" t="s">
        <v>667</v>
      </c>
      <c r="C3" s="27" t="s">
        <v>291</v>
      </c>
      <c r="D3" s="26">
        <v>0.41666666666666669</v>
      </c>
      <c r="E3" s="26">
        <v>0.2857142857142857</v>
      </c>
      <c r="F3" s="9">
        <v>2</v>
      </c>
      <c r="G3" s="9">
        <v>7</v>
      </c>
      <c r="H3" s="9">
        <v>17</v>
      </c>
      <c r="I3" s="26">
        <v>0.2857142857142857</v>
      </c>
    </row>
    <row r="4" spans="2:9" x14ac:dyDescent="0.15">
      <c r="B4" s="27" t="s">
        <v>19</v>
      </c>
      <c r="C4" s="27" t="s">
        <v>669</v>
      </c>
      <c r="D4" s="26">
        <v>0.25</v>
      </c>
      <c r="E4" s="26">
        <v>0.2857142857142857</v>
      </c>
      <c r="F4" s="9">
        <v>2</v>
      </c>
      <c r="G4" s="9">
        <v>15</v>
      </c>
      <c r="H4" s="9">
        <v>17</v>
      </c>
      <c r="I4" s="26">
        <v>0.13333333333333333</v>
      </c>
    </row>
    <row r="5" spans="2:9" x14ac:dyDescent="0.15">
      <c r="B5" s="27" t="s">
        <v>668</v>
      </c>
      <c r="C5" s="27" t="s">
        <v>669</v>
      </c>
      <c r="D5" s="26">
        <v>0.18181818181818182</v>
      </c>
      <c r="E5" s="26">
        <v>0</v>
      </c>
      <c r="F5" s="9">
        <v>0</v>
      </c>
      <c r="G5" s="9">
        <v>5</v>
      </c>
      <c r="H5" s="9">
        <v>17</v>
      </c>
      <c r="I5" s="26">
        <v>0</v>
      </c>
    </row>
    <row r="6" spans="2:9" x14ac:dyDescent="0.15">
      <c r="B6" s="27" t="s">
        <v>668</v>
      </c>
      <c r="C6" s="27" t="s">
        <v>666</v>
      </c>
      <c r="D6" s="26">
        <v>0.3</v>
      </c>
      <c r="E6" s="26">
        <v>0.14285714285714285</v>
      </c>
      <c r="F6" s="9">
        <v>1</v>
      </c>
      <c r="G6" s="9">
        <v>5</v>
      </c>
      <c r="H6" s="9">
        <v>15</v>
      </c>
      <c r="I6" s="26">
        <v>0.2</v>
      </c>
    </row>
    <row r="7" spans="2:9" x14ac:dyDescent="0.15">
      <c r="B7" s="27" t="s">
        <v>670</v>
      </c>
      <c r="C7" s="27" t="s">
        <v>667</v>
      </c>
      <c r="D7" s="26">
        <v>0.2</v>
      </c>
      <c r="E7" s="26">
        <v>0.2857142857142857</v>
      </c>
      <c r="F7" s="9">
        <v>1</v>
      </c>
      <c r="G7" s="9">
        <v>3</v>
      </c>
      <c r="H7" s="9">
        <v>7</v>
      </c>
      <c r="I7" s="26">
        <v>0.33333333333333331</v>
      </c>
    </row>
    <row r="8" spans="2:9" x14ac:dyDescent="0.15">
      <c r="B8" s="27" t="s">
        <v>673</v>
      </c>
      <c r="C8" s="27" t="s">
        <v>672</v>
      </c>
      <c r="D8" s="26">
        <v>0.2857142857142857</v>
      </c>
      <c r="E8" s="26">
        <v>0.18181818181818182</v>
      </c>
      <c r="F8" s="9">
        <v>1</v>
      </c>
      <c r="G8" s="9">
        <v>5</v>
      </c>
      <c r="H8" s="9">
        <v>16</v>
      </c>
      <c r="I8" s="26">
        <v>0.2</v>
      </c>
    </row>
    <row r="9" spans="2:9" x14ac:dyDescent="0.15">
      <c r="B9" s="27" t="s">
        <v>673</v>
      </c>
      <c r="C9" s="27" t="s">
        <v>671</v>
      </c>
      <c r="D9" s="26">
        <v>0.36363636363636365</v>
      </c>
      <c r="E9" s="26">
        <v>0</v>
      </c>
      <c r="F9" s="9">
        <v>0</v>
      </c>
      <c r="G9" s="9">
        <v>5</v>
      </c>
      <c r="H9" s="9">
        <v>6</v>
      </c>
      <c r="I9" s="26">
        <v>0</v>
      </c>
    </row>
    <row r="10" spans="2:9" x14ac:dyDescent="0.15">
      <c r="B10" s="27" t="s">
        <v>671</v>
      </c>
      <c r="C10" s="27" t="s">
        <v>669</v>
      </c>
      <c r="D10" s="26">
        <v>0.17391304347826086</v>
      </c>
      <c r="E10" s="26">
        <v>0</v>
      </c>
      <c r="F10" s="9">
        <v>0</v>
      </c>
      <c r="G10" s="9">
        <v>6</v>
      </c>
      <c r="H10" s="9">
        <v>17</v>
      </c>
      <c r="I10" s="26">
        <v>0</v>
      </c>
    </row>
    <row r="11" spans="2:9" x14ac:dyDescent="0.15">
      <c r="B11" s="27" t="s">
        <v>671</v>
      </c>
      <c r="C11" s="27" t="s">
        <v>672</v>
      </c>
      <c r="D11" s="26">
        <v>0.18181818181818182</v>
      </c>
      <c r="E11" s="26">
        <v>0.16666666666666666</v>
      </c>
      <c r="F11" s="14">
        <v>1</v>
      </c>
      <c r="G11" s="14">
        <v>6</v>
      </c>
      <c r="H11" s="14">
        <v>16</v>
      </c>
      <c r="I11" s="26">
        <v>0.16666666666666666</v>
      </c>
    </row>
    <row r="12" spans="2:9" x14ac:dyDescent="0.15">
      <c r="B12" s="27" t="s">
        <v>671</v>
      </c>
      <c r="C12" s="27" t="s">
        <v>666</v>
      </c>
      <c r="D12" s="26">
        <v>0.19047619047619047</v>
      </c>
      <c r="E12" s="26">
        <v>0.14285714285714285</v>
      </c>
      <c r="F12" s="14">
        <v>1</v>
      </c>
      <c r="G12" s="14">
        <v>6</v>
      </c>
      <c r="H12" s="14">
        <v>15</v>
      </c>
      <c r="I12" s="26">
        <v>0.16666666666666666</v>
      </c>
    </row>
    <row r="13" spans="2:9" x14ac:dyDescent="0.15">
      <c r="B13" s="27" t="s">
        <v>671</v>
      </c>
      <c r="C13" s="27" t="s">
        <v>673</v>
      </c>
      <c r="D13" s="26">
        <v>0.36363636363636365</v>
      </c>
      <c r="E13" s="26">
        <v>0.33333333333333331</v>
      </c>
      <c r="F13" s="14">
        <v>1</v>
      </c>
      <c r="G13" s="14">
        <v>6</v>
      </c>
      <c r="H13" s="14">
        <v>5</v>
      </c>
      <c r="I13" s="26">
        <v>0.16666666666666666</v>
      </c>
    </row>
    <row r="14" spans="2:9" x14ac:dyDescent="0.15">
      <c r="B14" s="27" t="s">
        <v>674</v>
      </c>
      <c r="C14" s="27" t="s">
        <v>675</v>
      </c>
      <c r="D14" s="26">
        <v>0.16666666666666666</v>
      </c>
      <c r="E14" s="26">
        <v>0</v>
      </c>
      <c r="F14" s="14">
        <v>0</v>
      </c>
      <c r="G14" s="14">
        <v>5</v>
      </c>
      <c r="H14" s="14">
        <v>7</v>
      </c>
      <c r="I14" s="26">
        <v>0</v>
      </c>
    </row>
    <row r="15" spans="2:9" x14ac:dyDescent="0.15">
      <c r="B15" s="27" t="s">
        <v>676</v>
      </c>
      <c r="C15" s="27" t="s">
        <v>677</v>
      </c>
      <c r="D15" s="26">
        <v>0.4</v>
      </c>
      <c r="E15" s="26">
        <v>0</v>
      </c>
      <c r="F15" s="14">
        <v>0</v>
      </c>
      <c r="G15" s="14">
        <v>2</v>
      </c>
      <c r="H15" s="14">
        <v>3</v>
      </c>
      <c r="I15" s="26">
        <v>0</v>
      </c>
    </row>
    <row r="16" spans="2:9" x14ac:dyDescent="0.15">
      <c r="B16" s="27"/>
      <c r="C16" s="27"/>
      <c r="D16" s="26"/>
      <c r="E16" s="26"/>
      <c r="F16" s="14"/>
      <c r="G16" s="14"/>
      <c r="H16" s="14"/>
      <c r="I16" s="26"/>
    </row>
    <row r="17" spans="2:9" x14ac:dyDescent="0.15">
      <c r="B17" s="27"/>
      <c r="C17" s="27"/>
      <c r="D17" s="26"/>
      <c r="E17" s="26"/>
      <c r="F17" s="14"/>
      <c r="G17" s="14"/>
      <c r="H17" s="14"/>
      <c r="I17" s="26"/>
    </row>
    <row r="18" spans="2:9" x14ac:dyDescent="0.15">
      <c r="B18" s="27"/>
      <c r="C18" s="27"/>
      <c r="D18" s="26"/>
      <c r="E18" s="26"/>
      <c r="F18" s="14"/>
      <c r="G18" s="14"/>
      <c r="H18" s="14"/>
      <c r="I18" s="26"/>
    </row>
    <row r="19" spans="2:9" x14ac:dyDescent="0.15">
      <c r="B19" s="27"/>
      <c r="C19" s="27"/>
      <c r="D19" s="27"/>
      <c r="E19" s="27"/>
      <c r="F19" s="19"/>
      <c r="G19" s="19"/>
      <c r="H19" s="19"/>
      <c r="I19" s="19"/>
    </row>
  </sheetData>
  <autoFilter ref="B1:I18"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G18"/>
  <sheetViews>
    <sheetView zoomScaleNormal="100" workbookViewId="0">
      <selection activeCell="D1" sqref="D1"/>
    </sheetView>
  </sheetViews>
  <sheetFormatPr defaultRowHeight="13.5" x14ac:dyDescent="0.15"/>
  <cols>
    <col min="2" max="3" width="15.5" style="25" customWidth="1"/>
    <col min="4" max="4" width="11.625" style="25" customWidth="1"/>
    <col min="5" max="7" width="11.625" customWidth="1"/>
  </cols>
  <sheetData>
    <row r="1" spans="2:7" x14ac:dyDescent="0.15">
      <c r="B1" s="9" t="s">
        <v>55</v>
      </c>
      <c r="C1" s="9" t="s">
        <v>56</v>
      </c>
      <c r="D1" s="26" t="s">
        <v>385</v>
      </c>
      <c r="E1" s="9" t="s">
        <v>384</v>
      </c>
      <c r="F1" s="15" t="s">
        <v>183</v>
      </c>
      <c r="G1" s="15" t="s">
        <v>184</v>
      </c>
    </row>
    <row r="2" spans="2:7" x14ac:dyDescent="0.15">
      <c r="B2" s="27"/>
      <c r="C2" s="27"/>
      <c r="D2" s="27"/>
      <c r="E2" s="19"/>
      <c r="F2" s="19"/>
      <c r="G2" s="19"/>
    </row>
    <row r="3" spans="2:7" x14ac:dyDescent="0.15">
      <c r="B3" s="27"/>
      <c r="C3" s="27"/>
      <c r="D3" s="27"/>
      <c r="E3" s="19"/>
      <c r="F3" s="19"/>
      <c r="G3" s="19"/>
    </row>
    <row r="4" spans="2:7" x14ac:dyDescent="0.15">
      <c r="B4" s="27"/>
      <c r="C4" s="27"/>
      <c r="D4" s="27"/>
      <c r="E4" s="19"/>
      <c r="F4" s="19"/>
      <c r="G4" s="19"/>
    </row>
    <row r="5" spans="2:7" x14ac:dyDescent="0.15">
      <c r="B5" s="27"/>
      <c r="C5" s="27"/>
      <c r="D5" s="27"/>
      <c r="E5" s="19"/>
      <c r="F5" s="19"/>
      <c r="G5" s="19"/>
    </row>
    <row r="6" spans="2:7" x14ac:dyDescent="0.15">
      <c r="B6" s="27"/>
      <c r="C6" s="27"/>
      <c r="D6" s="27"/>
      <c r="E6" s="19"/>
      <c r="F6" s="19"/>
      <c r="G6" s="19"/>
    </row>
    <row r="7" spans="2:7" x14ac:dyDescent="0.15">
      <c r="B7" s="27"/>
      <c r="C7" s="27"/>
      <c r="D7" s="27"/>
      <c r="E7" s="19"/>
      <c r="F7" s="19"/>
      <c r="G7" s="19"/>
    </row>
    <row r="8" spans="2:7" x14ac:dyDescent="0.15">
      <c r="B8" s="27"/>
      <c r="C8" s="27"/>
      <c r="D8" s="27"/>
      <c r="E8" s="19"/>
      <c r="F8" s="19"/>
      <c r="G8" s="19"/>
    </row>
    <row r="9" spans="2:7" x14ac:dyDescent="0.15">
      <c r="B9" s="27"/>
      <c r="C9" s="27"/>
      <c r="D9" s="27"/>
      <c r="E9" s="19"/>
      <c r="F9" s="19"/>
      <c r="G9" s="19"/>
    </row>
    <row r="10" spans="2:7" x14ac:dyDescent="0.15">
      <c r="B10" s="27"/>
      <c r="C10" s="27"/>
      <c r="D10" s="27"/>
      <c r="E10" s="19"/>
      <c r="F10" s="19"/>
      <c r="G10" s="19"/>
    </row>
    <row r="11" spans="2:7" x14ac:dyDescent="0.15">
      <c r="B11" s="27"/>
      <c r="C11" s="27"/>
      <c r="D11" s="27"/>
      <c r="E11" s="19"/>
      <c r="F11" s="19"/>
      <c r="G11" s="19"/>
    </row>
    <row r="12" spans="2:7" x14ac:dyDescent="0.15">
      <c r="B12" s="27"/>
      <c r="C12" s="27"/>
      <c r="D12" s="27"/>
      <c r="E12" s="19"/>
      <c r="F12" s="19"/>
      <c r="G12" s="19"/>
    </row>
    <row r="13" spans="2:7" x14ac:dyDescent="0.15">
      <c r="B13" s="27"/>
      <c r="C13" s="27"/>
      <c r="D13" s="27"/>
      <c r="E13" s="19"/>
      <c r="F13" s="19"/>
      <c r="G13" s="19"/>
    </row>
    <row r="14" spans="2:7" x14ac:dyDescent="0.15">
      <c r="B14" s="27"/>
      <c r="C14" s="27"/>
      <c r="D14" s="27"/>
      <c r="E14" s="19"/>
      <c r="F14" s="19"/>
      <c r="G14" s="19"/>
    </row>
    <row r="15" spans="2:7" x14ac:dyDescent="0.15">
      <c r="B15" s="27"/>
      <c r="C15" s="27"/>
      <c r="D15" s="27"/>
      <c r="E15" s="19"/>
      <c r="F15" s="19"/>
      <c r="G15" s="19"/>
    </row>
    <row r="16" spans="2:7" x14ac:dyDescent="0.15">
      <c r="B16" s="27"/>
      <c r="C16" s="27"/>
      <c r="D16" s="27"/>
      <c r="E16" s="19"/>
      <c r="F16" s="19"/>
      <c r="G16" s="19"/>
    </row>
    <row r="17" spans="2:7" x14ac:dyDescent="0.15">
      <c r="B17" s="27"/>
      <c r="C17" s="27"/>
      <c r="D17" s="27"/>
      <c r="E17" s="19"/>
      <c r="F17" s="19"/>
      <c r="G17" s="19"/>
    </row>
    <row r="18" spans="2:7" x14ac:dyDescent="0.15">
      <c r="B18" s="27"/>
      <c r="C18" s="27"/>
      <c r="D18" s="27"/>
      <c r="E18" s="19"/>
      <c r="F18" s="19"/>
      <c r="G18" s="19"/>
    </row>
  </sheetData>
  <autoFilter ref="B1:E18">
    <sortState ref="B2:E18">
      <sortCondition descending="1" ref="D1:D18"/>
    </sortState>
  </autoFilter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X39"/>
  <sheetViews>
    <sheetView workbookViewId="0">
      <pane xSplit="2" ySplit="2" topLeftCell="C9" activePane="bottomRight" state="frozen"/>
      <selection pane="topRight" activeCell="C1" sqref="C1"/>
      <selection pane="bottomLeft" activeCell="A3" sqref="A3"/>
      <selection pane="bottomRight" activeCell="N18" sqref="N18"/>
    </sheetView>
  </sheetViews>
  <sheetFormatPr defaultRowHeight="13.5" x14ac:dyDescent="0.15"/>
  <cols>
    <col min="3" max="12" width="8.125" customWidth="1"/>
  </cols>
  <sheetData>
    <row r="1" spans="2:17" x14ac:dyDescent="0.15">
      <c r="C1">
        <v>141</v>
      </c>
      <c r="D1">
        <v>189</v>
      </c>
      <c r="E1">
        <v>180</v>
      </c>
      <c r="F1">
        <v>123</v>
      </c>
      <c r="G1">
        <v>134</v>
      </c>
      <c r="H1">
        <v>139</v>
      </c>
      <c r="I1">
        <v>132</v>
      </c>
      <c r="J1">
        <v>134</v>
      </c>
      <c r="K1">
        <v>134</v>
      </c>
      <c r="L1">
        <v>123</v>
      </c>
    </row>
    <row r="2" spans="2:17" x14ac:dyDescent="0.15">
      <c r="C2" s="16" t="s">
        <v>24</v>
      </c>
      <c r="D2" s="16" t="s">
        <v>43</v>
      </c>
      <c r="E2" s="16" t="s">
        <v>95</v>
      </c>
      <c r="F2" s="16" t="s">
        <v>36</v>
      </c>
      <c r="G2" s="16" t="s">
        <v>20</v>
      </c>
      <c r="H2" s="16" t="s">
        <v>19</v>
      </c>
      <c r="I2" s="16" t="s">
        <v>61</v>
      </c>
      <c r="J2" s="16" t="s">
        <v>153</v>
      </c>
      <c r="K2" s="16" t="s">
        <v>151</v>
      </c>
      <c r="L2" s="16" t="s">
        <v>46</v>
      </c>
      <c r="M2" s="15"/>
      <c r="N2" s="16" t="s">
        <v>24</v>
      </c>
    </row>
    <row r="3" spans="2:17" x14ac:dyDescent="0.15">
      <c r="B3" s="16" t="s">
        <v>24</v>
      </c>
      <c r="D3">
        <f>189-91</f>
        <v>98</v>
      </c>
      <c r="E3">
        <f>180--15</f>
        <v>195</v>
      </c>
      <c r="F3">
        <f>123--1</f>
        <v>124</v>
      </c>
      <c r="G3">
        <f>134-85</f>
        <v>49</v>
      </c>
      <c r="H3">
        <f>139--56</f>
        <v>195</v>
      </c>
      <c r="I3">
        <f>132-5</f>
        <v>127</v>
      </c>
      <c r="J3">
        <f>134-0</f>
        <v>134</v>
      </c>
      <c r="K3">
        <f>134-24</f>
        <v>110</v>
      </c>
      <c r="L3">
        <f>123--2</f>
        <v>125</v>
      </c>
      <c r="N3" s="16" t="s">
        <v>43</v>
      </c>
      <c r="O3" t="s">
        <v>148</v>
      </c>
      <c r="P3" t="s">
        <v>42</v>
      </c>
      <c r="Q3" t="s">
        <v>64</v>
      </c>
    </row>
    <row r="4" spans="2:17" x14ac:dyDescent="0.15">
      <c r="B4" s="16" t="s">
        <v>43</v>
      </c>
      <c r="C4">
        <f>141--1</f>
        <v>142</v>
      </c>
      <c r="E4">
        <f>180--3</f>
        <v>183</v>
      </c>
      <c r="F4">
        <f>123-8</f>
        <v>115</v>
      </c>
      <c r="G4">
        <f>134-8</f>
        <v>126</v>
      </c>
      <c r="H4">
        <f>139--10</f>
        <v>149</v>
      </c>
      <c r="I4">
        <f>132--2</f>
        <v>134</v>
      </c>
      <c r="J4">
        <f>134--34</f>
        <v>168</v>
      </c>
      <c r="K4">
        <f>134--34</f>
        <v>168</v>
      </c>
      <c r="L4">
        <f>123-85</f>
        <v>38</v>
      </c>
      <c r="N4" s="16" t="s">
        <v>95</v>
      </c>
    </row>
    <row r="5" spans="2:17" x14ac:dyDescent="0.15">
      <c r="B5" s="16" t="s">
        <v>95</v>
      </c>
      <c r="C5">
        <f>141-116</f>
        <v>25</v>
      </c>
      <c r="D5">
        <f>189-30</f>
        <v>159</v>
      </c>
      <c r="F5">
        <f>123-37</f>
        <v>86</v>
      </c>
      <c r="G5">
        <f>134--22</f>
        <v>156</v>
      </c>
      <c r="H5">
        <f>139-74</f>
        <v>65</v>
      </c>
      <c r="I5">
        <f>132-0</f>
        <v>132</v>
      </c>
      <c r="J5">
        <f>134-88</f>
        <v>46</v>
      </c>
      <c r="K5">
        <f>134-11</f>
        <v>123</v>
      </c>
      <c r="L5">
        <f>123-74</f>
        <v>49</v>
      </c>
      <c r="N5" s="16" t="s">
        <v>36</v>
      </c>
    </row>
    <row r="6" spans="2:17" x14ac:dyDescent="0.15">
      <c r="B6" s="16" t="s">
        <v>36</v>
      </c>
      <c r="C6">
        <f>141-17</f>
        <v>124</v>
      </c>
      <c r="D6">
        <f>189--31</f>
        <v>220</v>
      </c>
      <c r="E6">
        <f>180--2</f>
        <v>182</v>
      </c>
      <c r="G6">
        <f>134-42</f>
        <v>92</v>
      </c>
      <c r="H6">
        <f>139-53</f>
        <v>86</v>
      </c>
      <c r="I6">
        <f>132-49</f>
        <v>83</v>
      </c>
      <c r="J6">
        <f>134-12</f>
        <v>122</v>
      </c>
      <c r="K6">
        <f>134--3</f>
        <v>137</v>
      </c>
      <c r="L6">
        <f>123--4</f>
        <v>127</v>
      </c>
      <c r="N6" s="16" t="s">
        <v>20</v>
      </c>
    </row>
    <row r="7" spans="2:17" x14ac:dyDescent="0.15">
      <c r="B7" s="16" t="s">
        <v>20</v>
      </c>
      <c r="C7">
        <f>141--5</f>
        <v>146</v>
      </c>
      <c r="D7">
        <f>189--1</f>
        <v>190</v>
      </c>
      <c r="E7">
        <f>180-119</f>
        <v>61</v>
      </c>
      <c r="F7">
        <f>123--31</f>
        <v>154</v>
      </c>
      <c r="H7">
        <f>139-62</f>
        <v>77</v>
      </c>
      <c r="I7">
        <f>132-85</f>
        <v>47</v>
      </c>
      <c r="J7">
        <f>134-93</f>
        <v>41</v>
      </c>
      <c r="K7">
        <f>134-64</f>
        <v>70</v>
      </c>
      <c r="L7">
        <f>123--5</f>
        <v>128</v>
      </c>
      <c r="N7" s="16" t="s">
        <v>19</v>
      </c>
    </row>
    <row r="8" spans="2:17" x14ac:dyDescent="0.15">
      <c r="B8" s="16" t="s">
        <v>19</v>
      </c>
      <c r="C8">
        <f>141-18</f>
        <v>123</v>
      </c>
      <c r="D8">
        <f>189-97</f>
        <v>92</v>
      </c>
      <c r="E8">
        <f>180--11</f>
        <v>191</v>
      </c>
      <c r="F8">
        <f>123--4</f>
        <v>127</v>
      </c>
      <c r="G8">
        <f>134--1</f>
        <v>135</v>
      </c>
      <c r="I8">
        <f>132-0</f>
        <v>132</v>
      </c>
      <c r="J8">
        <f>134-27</f>
        <v>107</v>
      </c>
      <c r="K8">
        <f>134--46</f>
        <v>180</v>
      </c>
      <c r="L8">
        <f>123-68</f>
        <v>55</v>
      </c>
      <c r="N8" s="16" t="s">
        <v>61</v>
      </c>
      <c r="O8" t="s">
        <v>145</v>
      </c>
      <c r="P8" t="s">
        <v>146</v>
      </c>
      <c r="Q8" t="s">
        <v>147</v>
      </c>
    </row>
    <row r="9" spans="2:17" x14ac:dyDescent="0.15">
      <c r="B9" s="16" t="s">
        <v>61</v>
      </c>
      <c r="C9">
        <f>141--19</f>
        <v>160</v>
      </c>
      <c r="D9">
        <f>189-4</f>
        <v>185</v>
      </c>
      <c r="E9">
        <f>180-141</f>
        <v>39</v>
      </c>
      <c r="F9">
        <f>123--22</f>
        <v>145</v>
      </c>
      <c r="G9">
        <f>134--12</f>
        <v>146</v>
      </c>
      <c r="H9">
        <f>139-8</f>
        <v>131</v>
      </c>
      <c r="J9">
        <f>134-104</f>
        <v>30</v>
      </c>
      <c r="K9">
        <f>134-22</f>
        <v>112</v>
      </c>
      <c r="L9">
        <f>123--61</f>
        <v>184</v>
      </c>
      <c r="N9" s="16" t="s">
        <v>21</v>
      </c>
      <c r="O9" t="s">
        <v>149</v>
      </c>
      <c r="P9" t="s">
        <v>65</v>
      </c>
      <c r="Q9" t="s">
        <v>29</v>
      </c>
    </row>
    <row r="10" spans="2:17" x14ac:dyDescent="0.15">
      <c r="B10" s="16" t="s">
        <v>154</v>
      </c>
      <c r="C10">
        <f>141-9</f>
        <v>132</v>
      </c>
      <c r="D10">
        <f>189-57</f>
        <v>132</v>
      </c>
      <c r="E10">
        <f>180--5</f>
        <v>185</v>
      </c>
      <c r="F10">
        <f>123--17</f>
        <v>140</v>
      </c>
      <c r="G10">
        <f>134--2</f>
        <v>136</v>
      </c>
      <c r="H10">
        <f>139--24</f>
        <v>163</v>
      </c>
      <c r="I10">
        <f>132--1</f>
        <v>133</v>
      </c>
      <c r="K10">
        <f>134--20</f>
        <v>154</v>
      </c>
      <c r="L10">
        <f>123-53</f>
        <v>70</v>
      </c>
      <c r="N10" s="16" t="s">
        <v>46</v>
      </c>
      <c r="O10" t="s">
        <v>156</v>
      </c>
      <c r="P10" t="s">
        <v>157</v>
      </c>
      <c r="Q10" t="s">
        <v>158</v>
      </c>
    </row>
    <row r="11" spans="2:17" x14ac:dyDescent="0.15">
      <c r="B11" s="16" t="s">
        <v>155</v>
      </c>
      <c r="C11">
        <f>141--25</f>
        <v>166</v>
      </c>
      <c r="D11">
        <f>189-105</f>
        <v>84</v>
      </c>
      <c r="E11">
        <f>180--2</f>
        <v>182</v>
      </c>
      <c r="F11">
        <f>123-28</f>
        <v>95</v>
      </c>
      <c r="G11">
        <f>134--1</f>
        <v>135</v>
      </c>
      <c r="H11">
        <f>139-10</f>
        <v>129</v>
      </c>
      <c r="I11">
        <f>132--16</f>
        <v>148</v>
      </c>
      <c r="J11">
        <f>134-28</f>
        <v>106</v>
      </c>
      <c r="L11">
        <f>123-7</f>
        <v>116</v>
      </c>
    </row>
    <row r="12" spans="2:17" x14ac:dyDescent="0.15">
      <c r="B12" s="16" t="s">
        <v>46</v>
      </c>
      <c r="C12">
        <f>141-48</f>
        <v>93</v>
      </c>
      <c r="D12">
        <f>189--30</f>
        <v>219</v>
      </c>
      <c r="E12">
        <f>180--2</f>
        <v>182</v>
      </c>
      <c r="F12">
        <f>123-31</f>
        <v>92</v>
      </c>
      <c r="G12">
        <f>134-4</f>
        <v>130</v>
      </c>
      <c r="H12">
        <f>139--6</f>
        <v>145</v>
      </c>
      <c r="I12">
        <f>132-14</f>
        <v>118</v>
      </c>
      <c r="J12">
        <f>134--8</f>
        <v>142</v>
      </c>
      <c r="K12">
        <f>134--8</f>
        <v>142</v>
      </c>
    </row>
    <row r="13" spans="2:17" x14ac:dyDescent="0.15">
      <c r="B13" s="15"/>
    </row>
    <row r="15" spans="2:17" x14ac:dyDescent="0.15">
      <c r="C15">
        <v>141</v>
      </c>
      <c r="D15">
        <v>189</v>
      </c>
      <c r="E15">
        <v>180</v>
      </c>
      <c r="F15">
        <v>123</v>
      </c>
      <c r="G15">
        <v>134</v>
      </c>
      <c r="H15">
        <v>139</v>
      </c>
      <c r="I15">
        <v>132</v>
      </c>
      <c r="J15">
        <v>134</v>
      </c>
      <c r="K15">
        <v>134</v>
      </c>
      <c r="L15">
        <v>123</v>
      </c>
    </row>
    <row r="16" spans="2:17" x14ac:dyDescent="0.15">
      <c r="C16" s="16" t="s">
        <v>24</v>
      </c>
      <c r="D16" s="16" t="s">
        <v>43</v>
      </c>
      <c r="E16" s="16" t="s">
        <v>95</v>
      </c>
      <c r="F16" s="16" t="s">
        <v>36</v>
      </c>
      <c r="G16" s="16" t="s">
        <v>20</v>
      </c>
      <c r="H16" s="16" t="s">
        <v>19</v>
      </c>
      <c r="I16" s="16" t="s">
        <v>61</v>
      </c>
      <c r="J16" s="16" t="s">
        <v>153</v>
      </c>
      <c r="K16" s="16" t="s">
        <v>151</v>
      </c>
      <c r="L16" s="16" t="s">
        <v>46</v>
      </c>
    </row>
    <row r="17" spans="2:24" x14ac:dyDescent="0.15">
      <c r="B17" s="16" t="s">
        <v>24</v>
      </c>
      <c r="C17" s="18">
        <v>1</v>
      </c>
      <c r="D17" s="18">
        <f t="shared" ref="D17:L17" si="0">D3/D$1</f>
        <v>0.51851851851851849</v>
      </c>
      <c r="E17" s="18">
        <f t="shared" si="0"/>
        <v>1.0833333333333333</v>
      </c>
      <c r="F17" s="18">
        <f t="shared" si="0"/>
        <v>1.0081300813008129</v>
      </c>
      <c r="G17" s="18">
        <f t="shared" si="0"/>
        <v>0.36567164179104478</v>
      </c>
      <c r="H17" s="18">
        <f t="shared" si="0"/>
        <v>1.4028776978417266</v>
      </c>
      <c r="I17" s="18">
        <f t="shared" si="0"/>
        <v>0.96212121212121215</v>
      </c>
      <c r="J17" s="18">
        <f t="shared" si="0"/>
        <v>1</v>
      </c>
      <c r="K17" s="18">
        <f t="shared" si="0"/>
        <v>0.82089552238805974</v>
      </c>
      <c r="L17" s="18">
        <f t="shared" si="0"/>
        <v>1.0162601626016261</v>
      </c>
    </row>
    <row r="18" spans="2:24" x14ac:dyDescent="0.15">
      <c r="B18" s="16" t="s">
        <v>43</v>
      </c>
      <c r="C18" s="18">
        <f>C4/C$1</f>
        <v>1.0070921985815602</v>
      </c>
      <c r="D18" s="18">
        <v>1</v>
      </c>
      <c r="E18" s="18">
        <f t="shared" ref="E18:L18" si="1">E4/E$1</f>
        <v>1.0166666666666666</v>
      </c>
      <c r="F18" s="18">
        <f t="shared" si="1"/>
        <v>0.93495934959349591</v>
      </c>
      <c r="G18" s="18">
        <f t="shared" si="1"/>
        <v>0.94029850746268662</v>
      </c>
      <c r="H18" s="18">
        <f t="shared" si="1"/>
        <v>1.0719424460431655</v>
      </c>
      <c r="I18" s="18">
        <f t="shared" si="1"/>
        <v>1.0151515151515151</v>
      </c>
      <c r="J18" s="18">
        <f t="shared" si="1"/>
        <v>1.2537313432835822</v>
      </c>
      <c r="K18" s="18">
        <f t="shared" si="1"/>
        <v>1.2537313432835822</v>
      </c>
      <c r="L18" s="18">
        <f t="shared" si="1"/>
        <v>0.30894308943089432</v>
      </c>
    </row>
    <row r="19" spans="2:24" x14ac:dyDescent="0.15">
      <c r="B19" s="16" t="s">
        <v>95</v>
      </c>
      <c r="C19" s="18">
        <f t="shared" ref="C19:D26" si="2">C5/C$1</f>
        <v>0.1773049645390071</v>
      </c>
      <c r="D19" s="18">
        <f t="shared" si="2"/>
        <v>0.84126984126984128</v>
      </c>
      <c r="E19" s="18">
        <v>1</v>
      </c>
      <c r="F19" s="18">
        <f t="shared" ref="F19" si="3">F5/F$1</f>
        <v>0.69918699186991873</v>
      </c>
      <c r="G19" s="18">
        <f t="shared" ref="G19" si="4">G5/G$1</f>
        <v>1.164179104477612</v>
      </c>
      <c r="H19" s="18">
        <f t="shared" ref="H19" si="5">H5/H$1</f>
        <v>0.46762589928057552</v>
      </c>
      <c r="I19" s="18">
        <f t="shared" ref="I19" si="6">I5/I$1</f>
        <v>1</v>
      </c>
      <c r="J19" s="18">
        <f t="shared" ref="J19" si="7">J5/J$1</f>
        <v>0.34328358208955223</v>
      </c>
      <c r="K19" s="18">
        <f t="shared" ref="K19" si="8">K5/K$1</f>
        <v>0.91791044776119401</v>
      </c>
      <c r="L19" s="18">
        <f t="shared" ref="L19" si="9">L5/L$1</f>
        <v>0.3983739837398374</v>
      </c>
    </row>
    <row r="20" spans="2:24" x14ac:dyDescent="0.15">
      <c r="B20" s="16" t="s">
        <v>36</v>
      </c>
      <c r="C20" s="18">
        <f t="shared" si="2"/>
        <v>0.87943262411347523</v>
      </c>
      <c r="D20" s="18">
        <f t="shared" si="2"/>
        <v>1.164021164021164</v>
      </c>
      <c r="E20" s="18">
        <f t="shared" ref="E20" si="10">E6/E$1</f>
        <v>1.0111111111111111</v>
      </c>
      <c r="F20" s="18">
        <v>1</v>
      </c>
      <c r="G20" s="18">
        <f t="shared" ref="G20" si="11">G6/G$1</f>
        <v>0.68656716417910446</v>
      </c>
      <c r="H20" s="18">
        <f t="shared" ref="H20" si="12">H6/H$1</f>
        <v>0.61870503597122306</v>
      </c>
      <c r="I20" s="18">
        <f t="shared" ref="I20" si="13">I6/I$1</f>
        <v>0.62878787878787878</v>
      </c>
      <c r="J20" s="18">
        <f t="shared" ref="J20" si="14">J6/J$1</f>
        <v>0.91044776119402981</v>
      </c>
      <c r="K20" s="18">
        <f t="shared" ref="K20" si="15">K6/K$1</f>
        <v>1.0223880597014925</v>
      </c>
      <c r="L20" s="18">
        <f t="shared" ref="L20" si="16">L6/L$1</f>
        <v>1.032520325203252</v>
      </c>
    </row>
    <row r="21" spans="2:24" x14ac:dyDescent="0.15">
      <c r="B21" s="16" t="s">
        <v>20</v>
      </c>
      <c r="C21" s="18">
        <f t="shared" si="2"/>
        <v>1.0354609929078014</v>
      </c>
      <c r="D21" s="18">
        <f t="shared" si="2"/>
        <v>1.0052910052910053</v>
      </c>
      <c r="E21" s="18">
        <f t="shared" ref="E21:F21" si="17">E7/E$1</f>
        <v>0.33888888888888891</v>
      </c>
      <c r="F21" s="18">
        <f t="shared" si="17"/>
        <v>1.2520325203252032</v>
      </c>
      <c r="G21" s="18">
        <v>1</v>
      </c>
      <c r="H21" s="18">
        <f t="shared" ref="H21" si="18">H7/H$1</f>
        <v>0.5539568345323741</v>
      </c>
      <c r="I21" s="18">
        <f t="shared" ref="I21" si="19">I7/I$1</f>
        <v>0.35606060606060608</v>
      </c>
      <c r="J21" s="18">
        <f t="shared" ref="J21" si="20">J7/J$1</f>
        <v>0.30597014925373134</v>
      </c>
      <c r="K21" s="18">
        <f t="shared" ref="K21" si="21">K7/K$1</f>
        <v>0.52238805970149249</v>
      </c>
      <c r="L21" s="18">
        <f t="shared" ref="L21" si="22">L7/L$1</f>
        <v>1.0406504065040652</v>
      </c>
    </row>
    <row r="22" spans="2:24" x14ac:dyDescent="0.15">
      <c r="B22" s="16" t="s">
        <v>19</v>
      </c>
      <c r="C22" s="18">
        <f t="shared" si="2"/>
        <v>0.87234042553191493</v>
      </c>
      <c r="D22" s="18">
        <f t="shared" si="2"/>
        <v>0.48677248677248675</v>
      </c>
      <c r="E22" s="18">
        <f t="shared" ref="E22:G22" si="23">E8/E$1</f>
        <v>1.0611111111111111</v>
      </c>
      <c r="F22" s="18">
        <f t="shared" si="23"/>
        <v>1.032520325203252</v>
      </c>
      <c r="G22" s="18">
        <f t="shared" si="23"/>
        <v>1.0074626865671641</v>
      </c>
      <c r="H22" s="18">
        <v>1</v>
      </c>
      <c r="I22" s="18">
        <f t="shared" ref="I22" si="24">I8/I$1</f>
        <v>1</v>
      </c>
      <c r="J22" s="18">
        <f t="shared" ref="J22" si="25">J8/J$1</f>
        <v>0.79850746268656714</v>
      </c>
      <c r="K22" s="18">
        <f t="shared" ref="K22" si="26">K8/K$1</f>
        <v>1.3432835820895523</v>
      </c>
      <c r="L22" s="18">
        <f t="shared" ref="L22" si="27">L8/L$1</f>
        <v>0.44715447154471544</v>
      </c>
    </row>
    <row r="23" spans="2:24" x14ac:dyDescent="0.15">
      <c r="B23" s="16" t="s">
        <v>61</v>
      </c>
      <c r="C23" s="18">
        <f t="shared" si="2"/>
        <v>1.1347517730496455</v>
      </c>
      <c r="D23" s="18">
        <f t="shared" si="2"/>
        <v>0.97883597883597884</v>
      </c>
      <c r="E23" s="18">
        <f t="shared" ref="E23:H23" si="28">E9/E$1</f>
        <v>0.21666666666666667</v>
      </c>
      <c r="F23" s="18">
        <f t="shared" si="28"/>
        <v>1.1788617886178863</v>
      </c>
      <c r="G23" s="18">
        <f t="shared" si="28"/>
        <v>1.0895522388059702</v>
      </c>
      <c r="H23" s="18">
        <f t="shared" si="28"/>
        <v>0.94244604316546765</v>
      </c>
      <c r="I23" s="18">
        <v>1</v>
      </c>
      <c r="J23" s="18">
        <f t="shared" ref="J23" si="29">J9/J$1</f>
        <v>0.22388059701492538</v>
      </c>
      <c r="K23" s="18">
        <f t="shared" ref="K23" si="30">K9/K$1</f>
        <v>0.83582089552238803</v>
      </c>
      <c r="L23" s="18">
        <f t="shared" ref="L23" si="31">L9/L$1</f>
        <v>1.4959349593495934</v>
      </c>
    </row>
    <row r="24" spans="2:24" x14ac:dyDescent="0.15">
      <c r="B24" s="16" t="s">
        <v>154</v>
      </c>
      <c r="C24" s="18">
        <f t="shared" si="2"/>
        <v>0.93617021276595747</v>
      </c>
      <c r="D24" s="18">
        <f t="shared" si="2"/>
        <v>0.69841269841269837</v>
      </c>
      <c r="E24" s="18">
        <f t="shared" ref="E24:I24" si="32">E10/E$1</f>
        <v>1.0277777777777777</v>
      </c>
      <c r="F24" s="18">
        <f t="shared" si="32"/>
        <v>1.1382113821138211</v>
      </c>
      <c r="G24" s="18">
        <f t="shared" si="32"/>
        <v>1.0149253731343284</v>
      </c>
      <c r="H24" s="18">
        <f t="shared" si="32"/>
        <v>1.1726618705035972</v>
      </c>
      <c r="I24" s="18">
        <f t="shared" si="32"/>
        <v>1.0075757575757576</v>
      </c>
      <c r="J24" s="18">
        <v>1</v>
      </c>
      <c r="K24" s="18">
        <f t="shared" ref="K24" si="33">K10/K$1</f>
        <v>1.1492537313432836</v>
      </c>
      <c r="L24" s="18">
        <f t="shared" ref="L24" si="34">L10/L$1</f>
        <v>0.56910569105691056</v>
      </c>
    </row>
    <row r="25" spans="2:24" x14ac:dyDescent="0.15">
      <c r="B25" s="16" t="s">
        <v>155</v>
      </c>
      <c r="C25" s="18">
        <f t="shared" si="2"/>
        <v>1.177304964539007</v>
      </c>
      <c r="D25" s="18">
        <f t="shared" si="2"/>
        <v>0.44444444444444442</v>
      </c>
      <c r="E25" s="18">
        <f t="shared" ref="E25:J25" si="35">E11/E$1</f>
        <v>1.0111111111111111</v>
      </c>
      <c r="F25" s="18">
        <f t="shared" si="35"/>
        <v>0.77235772357723576</v>
      </c>
      <c r="G25" s="18">
        <f t="shared" si="35"/>
        <v>1.0074626865671641</v>
      </c>
      <c r="H25" s="18">
        <f t="shared" si="35"/>
        <v>0.92805755395683454</v>
      </c>
      <c r="I25" s="18">
        <f t="shared" si="35"/>
        <v>1.1212121212121211</v>
      </c>
      <c r="J25" s="18">
        <f t="shared" si="35"/>
        <v>0.79104477611940294</v>
      </c>
      <c r="K25" s="18">
        <v>1</v>
      </c>
      <c r="L25" s="18">
        <f t="shared" ref="L25" si="36">L11/L$1</f>
        <v>0.94308943089430897</v>
      </c>
    </row>
    <row r="26" spans="2:24" x14ac:dyDescent="0.15">
      <c r="B26" s="16" t="s">
        <v>46</v>
      </c>
      <c r="C26" s="18">
        <f t="shared" si="2"/>
        <v>0.65957446808510634</v>
      </c>
      <c r="D26" s="18">
        <f t="shared" si="2"/>
        <v>1.1587301587301588</v>
      </c>
      <c r="E26" s="18">
        <f t="shared" ref="E26:K26" si="37">E12/E$1</f>
        <v>1.0111111111111111</v>
      </c>
      <c r="F26" s="18">
        <f t="shared" si="37"/>
        <v>0.74796747967479671</v>
      </c>
      <c r="G26" s="18">
        <f t="shared" si="37"/>
        <v>0.97014925373134331</v>
      </c>
      <c r="H26" s="18">
        <f t="shared" si="37"/>
        <v>1.0431654676258992</v>
      </c>
      <c r="I26" s="18">
        <f t="shared" si="37"/>
        <v>0.89393939393939392</v>
      </c>
      <c r="J26" s="18">
        <f t="shared" si="37"/>
        <v>1.0597014925373134</v>
      </c>
      <c r="K26" s="18">
        <f t="shared" si="37"/>
        <v>1.0597014925373134</v>
      </c>
      <c r="L26" s="18">
        <v>1</v>
      </c>
    </row>
    <row r="27" spans="2:24" x14ac:dyDescent="0.15">
      <c r="E27" s="18"/>
    </row>
    <row r="29" spans="2:24" x14ac:dyDescent="0.15">
      <c r="C29" t="s">
        <v>107</v>
      </c>
      <c r="D29" t="s">
        <v>123</v>
      </c>
      <c r="E29" t="s">
        <v>114</v>
      </c>
      <c r="F29" t="s">
        <v>122</v>
      </c>
      <c r="G29" t="s">
        <v>118</v>
      </c>
      <c r="H29" t="s">
        <v>115</v>
      </c>
      <c r="I29" t="s">
        <v>124</v>
      </c>
      <c r="J29" t="s">
        <v>152</v>
      </c>
      <c r="K29" t="s">
        <v>150</v>
      </c>
      <c r="L29" t="s">
        <v>144</v>
      </c>
    </row>
    <row r="30" spans="2:24" x14ac:dyDescent="0.15">
      <c r="B30" t="s">
        <v>107</v>
      </c>
      <c r="C30" s="18">
        <v>0</v>
      </c>
      <c r="D30" s="18">
        <v>-0.48857368006304169</v>
      </c>
      <c r="E30" s="18">
        <v>0.90602836879432613</v>
      </c>
      <c r="F30" s="18">
        <v>0.12869745718733772</v>
      </c>
      <c r="G30" s="18">
        <v>-0.66978935111675653</v>
      </c>
      <c r="H30" s="18">
        <v>0.53053727230981162</v>
      </c>
      <c r="I30" s="18">
        <v>-0.17263056092843332</v>
      </c>
      <c r="J30" s="18">
        <v>6.3829787234042534E-2</v>
      </c>
      <c r="K30" s="18">
        <v>-0.35640944215094728</v>
      </c>
      <c r="L30" s="18">
        <v>0.35668569451651977</v>
      </c>
      <c r="O30" s="18"/>
      <c r="P30" s="18"/>
      <c r="Q30" s="18"/>
      <c r="R30" s="18"/>
      <c r="S30" s="18"/>
      <c r="T30" s="18"/>
      <c r="U30" s="18"/>
      <c r="V30" s="18"/>
      <c r="W30" s="18"/>
      <c r="X30" s="18"/>
    </row>
    <row r="31" spans="2:24" x14ac:dyDescent="0.15">
      <c r="B31" t="s">
        <v>123</v>
      </c>
      <c r="C31" s="18">
        <v>0.48857368006304169</v>
      </c>
      <c r="D31" s="18">
        <v>0</v>
      </c>
      <c r="E31" s="18">
        <v>0.17539682539682533</v>
      </c>
      <c r="F31" s="18">
        <v>-0.22906181442766804</v>
      </c>
      <c r="G31" s="18">
        <v>-6.4992497828318729E-2</v>
      </c>
      <c r="H31" s="18">
        <v>0.58516995927067872</v>
      </c>
      <c r="I31" s="18">
        <v>3.6315536315536301E-2</v>
      </c>
      <c r="J31" s="18">
        <v>0.55531864487088378</v>
      </c>
      <c r="K31" s="18">
        <v>0.80928689883913774</v>
      </c>
      <c r="L31" s="18">
        <v>-0.84978706929926451</v>
      </c>
      <c r="O31" s="18"/>
      <c r="P31" s="18"/>
      <c r="Q31" s="18"/>
      <c r="R31" s="18"/>
      <c r="S31" s="18"/>
      <c r="T31" s="18"/>
      <c r="U31" s="18"/>
      <c r="V31" s="18"/>
      <c r="W31" s="18"/>
      <c r="X31" s="18"/>
    </row>
    <row r="32" spans="2:24" x14ac:dyDescent="0.15">
      <c r="B32" t="s">
        <v>114</v>
      </c>
      <c r="C32" s="18">
        <v>-0.90602836879432613</v>
      </c>
      <c r="D32" s="18">
        <v>-0.17539682539682533</v>
      </c>
      <c r="E32" s="18">
        <v>0</v>
      </c>
      <c r="F32" s="18">
        <v>-0.31192411924119234</v>
      </c>
      <c r="G32" s="18">
        <v>0.82529021558872306</v>
      </c>
      <c r="H32" s="18">
        <v>-0.5934852118305356</v>
      </c>
      <c r="I32" s="18">
        <v>0.78333333333333333</v>
      </c>
      <c r="J32" s="18">
        <v>-0.68449419568822545</v>
      </c>
      <c r="K32" s="18">
        <v>-9.3200663349917057E-2</v>
      </c>
      <c r="L32" s="18">
        <v>-0.61273712737127362</v>
      </c>
      <c r="O32" s="18"/>
      <c r="P32" s="18"/>
      <c r="Q32" s="18"/>
      <c r="R32" s="18"/>
      <c r="S32" s="18"/>
      <c r="T32" s="18"/>
      <c r="U32" s="18"/>
      <c r="V32" s="18"/>
      <c r="W32" s="18"/>
      <c r="X32" s="18"/>
    </row>
    <row r="33" spans="2:24" x14ac:dyDescent="0.15">
      <c r="B33" t="s">
        <v>122</v>
      </c>
      <c r="C33" s="18">
        <v>-0.12869745718733772</v>
      </c>
      <c r="D33" s="18">
        <v>0.22906181442766804</v>
      </c>
      <c r="E33" s="18">
        <v>0.31192411924119234</v>
      </c>
      <c r="F33" s="18">
        <v>0</v>
      </c>
      <c r="G33" s="18">
        <v>-0.56546535614609872</v>
      </c>
      <c r="H33" s="18">
        <v>-0.41381528923202893</v>
      </c>
      <c r="I33" s="18">
        <v>-0.55007390983000748</v>
      </c>
      <c r="J33" s="18">
        <v>-0.2277636209197913</v>
      </c>
      <c r="K33" s="18">
        <v>0.25003033612425674</v>
      </c>
      <c r="L33" s="18">
        <v>0.28455284552845528</v>
      </c>
      <c r="O33" s="18"/>
      <c r="P33" s="18"/>
      <c r="Q33" s="18"/>
      <c r="R33" s="18"/>
      <c r="S33" s="18"/>
      <c r="T33" s="18"/>
      <c r="U33" s="18"/>
      <c r="V33" s="18"/>
      <c r="W33" s="18"/>
      <c r="X33" s="18"/>
    </row>
    <row r="34" spans="2:24" x14ac:dyDescent="0.15">
      <c r="B34" t="s">
        <v>118</v>
      </c>
      <c r="C34" s="18">
        <v>0.66978935111675653</v>
      </c>
      <c r="D34" s="18">
        <v>6.4992497828318729E-2</v>
      </c>
      <c r="E34" s="18">
        <v>-0.82529021558872306</v>
      </c>
      <c r="F34" s="18">
        <v>0.56546535614609872</v>
      </c>
      <c r="G34" s="18">
        <v>0</v>
      </c>
      <c r="H34" s="18">
        <v>-0.45350585203478999</v>
      </c>
      <c r="I34" s="18">
        <v>-0.73349163274536411</v>
      </c>
      <c r="J34" s="18">
        <v>-0.70895522388059706</v>
      </c>
      <c r="K34" s="18">
        <v>-0.4850746268656716</v>
      </c>
      <c r="L34" s="18">
        <v>7.0501152772721842E-2</v>
      </c>
      <c r="O34" s="18"/>
      <c r="P34" s="18"/>
      <c r="Q34" s="18"/>
      <c r="R34" s="18"/>
      <c r="S34" s="18"/>
      <c r="T34" s="18"/>
      <c r="U34" s="18"/>
      <c r="V34" s="18"/>
      <c r="W34" s="18"/>
      <c r="X34" s="18"/>
    </row>
    <row r="35" spans="2:24" x14ac:dyDescent="0.15">
      <c r="B35" t="s">
        <v>115</v>
      </c>
      <c r="C35" s="18">
        <v>-0.53053727230981162</v>
      </c>
      <c r="D35" s="18">
        <v>-0.58516995927067872</v>
      </c>
      <c r="E35" s="18">
        <v>0.5934852118305356</v>
      </c>
      <c r="F35" s="18">
        <v>0.41381528923202893</v>
      </c>
      <c r="G35" s="18">
        <v>0.45350585203478999</v>
      </c>
      <c r="H35" s="18">
        <v>0</v>
      </c>
      <c r="I35" s="18">
        <v>5.7553956834532349E-2</v>
      </c>
      <c r="J35" s="18">
        <v>-0.37415440781703002</v>
      </c>
      <c r="K35" s="18">
        <v>0.41522602813271781</v>
      </c>
      <c r="L35" s="18">
        <v>-0.5960109960811838</v>
      </c>
      <c r="O35" s="18"/>
      <c r="P35" s="18"/>
      <c r="Q35" s="18"/>
      <c r="R35" s="18"/>
      <c r="S35" s="18"/>
      <c r="T35" s="18"/>
      <c r="U35" s="18"/>
      <c r="V35" s="18"/>
      <c r="W35" s="18"/>
      <c r="X35" s="18"/>
    </row>
    <row r="36" spans="2:24" x14ac:dyDescent="0.15">
      <c r="B36" t="s">
        <v>124</v>
      </c>
      <c r="C36" s="18">
        <v>0.17263056092843332</v>
      </c>
      <c r="D36" s="18">
        <v>-3.6315536315536301E-2</v>
      </c>
      <c r="E36" s="18">
        <v>-0.78333333333333333</v>
      </c>
      <c r="F36" s="18">
        <v>0.55007390983000748</v>
      </c>
      <c r="G36" s="18">
        <v>0.73349163274536411</v>
      </c>
      <c r="H36" s="18">
        <v>-5.7553956834532349E-2</v>
      </c>
      <c r="I36" s="18">
        <v>0</v>
      </c>
      <c r="J36" s="18">
        <v>-0.78369516056083222</v>
      </c>
      <c r="K36" s="18">
        <v>-0.28539122568973307</v>
      </c>
      <c r="L36" s="18">
        <v>0.6019955654101995</v>
      </c>
      <c r="O36" s="18"/>
      <c r="P36" s="18"/>
      <c r="Q36" s="18"/>
      <c r="R36" s="18"/>
      <c r="S36" s="18"/>
      <c r="T36" s="18"/>
      <c r="U36" s="18"/>
      <c r="V36" s="18"/>
      <c r="W36" s="18"/>
      <c r="X36" s="18"/>
    </row>
    <row r="37" spans="2:24" x14ac:dyDescent="0.15">
      <c r="B37" t="s">
        <v>152</v>
      </c>
      <c r="C37" s="18">
        <v>-6.3829787234042534E-2</v>
      </c>
      <c r="D37" s="18">
        <v>-0.55531864487088378</v>
      </c>
      <c r="E37" s="18">
        <v>0.68449419568822545</v>
      </c>
      <c r="F37" s="18">
        <v>0.2277636209197913</v>
      </c>
      <c r="G37" s="18">
        <v>0.70895522388059706</v>
      </c>
      <c r="H37" s="18">
        <v>0.37415440781703002</v>
      </c>
      <c r="I37" s="18">
        <v>0.78369516056083222</v>
      </c>
      <c r="J37" s="18">
        <v>0</v>
      </c>
      <c r="K37" s="18">
        <v>0.35820895522388063</v>
      </c>
      <c r="L37" s="18">
        <v>-0.49059580148040283</v>
      </c>
      <c r="O37" s="18"/>
      <c r="P37" s="18"/>
      <c r="Q37" s="18"/>
      <c r="R37" s="18"/>
      <c r="S37" s="18"/>
      <c r="T37" s="18"/>
      <c r="U37" s="18"/>
      <c r="V37" s="18"/>
      <c r="W37" s="18"/>
      <c r="X37" s="18"/>
    </row>
    <row r="38" spans="2:24" x14ac:dyDescent="0.15">
      <c r="B38" t="s">
        <v>150</v>
      </c>
      <c r="C38" s="18">
        <v>0.35640944215094728</v>
      </c>
      <c r="D38" s="18">
        <v>-0.80928689883913774</v>
      </c>
      <c r="E38" s="18">
        <v>9.3200663349917057E-2</v>
      </c>
      <c r="F38" s="18">
        <v>-0.25003033612425674</v>
      </c>
      <c r="G38" s="18">
        <v>0.4850746268656716</v>
      </c>
      <c r="H38" s="18">
        <v>-0.41522602813271781</v>
      </c>
      <c r="I38" s="18">
        <v>0.28539122568973307</v>
      </c>
      <c r="J38" s="18">
        <v>-0.35820895522388063</v>
      </c>
      <c r="K38" s="18">
        <v>0</v>
      </c>
      <c r="L38" s="18">
        <v>-0.11661206164300442</v>
      </c>
      <c r="O38" s="18"/>
      <c r="P38" s="18"/>
      <c r="Q38" s="18"/>
      <c r="R38" s="18"/>
      <c r="S38" s="18"/>
      <c r="T38" s="18"/>
      <c r="U38" s="18"/>
      <c r="V38" s="18"/>
      <c r="W38" s="18"/>
      <c r="X38" s="18"/>
    </row>
    <row r="39" spans="2:24" x14ac:dyDescent="0.15">
      <c r="B39" t="s">
        <v>144</v>
      </c>
      <c r="C39" s="18">
        <v>-0.35668569451651977</v>
      </c>
      <c r="D39" s="18">
        <v>0.84978706929926451</v>
      </c>
      <c r="E39" s="18">
        <v>0.61273712737127362</v>
      </c>
      <c r="F39" s="18">
        <v>-0.28455284552845528</v>
      </c>
      <c r="G39" s="18">
        <v>-7.0501152772721842E-2</v>
      </c>
      <c r="H39" s="18">
        <v>0.5960109960811838</v>
      </c>
      <c r="I39" s="18">
        <v>-0.6019955654101995</v>
      </c>
      <c r="J39" s="18">
        <v>0.49059580148040283</v>
      </c>
      <c r="K39" s="18">
        <v>0.11661206164300442</v>
      </c>
      <c r="L39" s="18">
        <v>0</v>
      </c>
      <c r="O39" s="18"/>
      <c r="P39" s="18"/>
      <c r="Q39" s="18"/>
      <c r="R39" s="18"/>
      <c r="S39" s="18"/>
      <c r="T39" s="18"/>
      <c r="U39" s="18"/>
      <c r="V39" s="18"/>
      <c r="W39" s="18"/>
      <c r="X39" s="18"/>
    </row>
  </sheetData>
  <phoneticPr fontId="1"/>
  <conditionalFormatting sqref="C17:L26 E27">
    <cfRule type="colorScale" priority="3">
      <colorScale>
        <cfvo type="num" val="-1"/>
        <cfvo type="percentile" val="50"/>
        <cfvo type="num" val="1"/>
        <color rgb="FFF8696B"/>
        <color rgb="FFFCFCFF"/>
        <color rgb="FF5A8AC6"/>
      </colorScale>
    </cfRule>
  </conditionalFormatting>
  <conditionalFormatting sqref="C30:L39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30:X39">
    <cfRule type="colorScale" priority="1">
      <colorScale>
        <cfvo type="num" val="-2"/>
        <cfvo type="percentile" val="50"/>
        <cfvo type="num" val="2"/>
        <color rgb="FFF8696B"/>
        <color rgb="FFFCFCFF"/>
        <color rgb="FF5A8AC6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J67"/>
  <sheetViews>
    <sheetView topLeftCell="A3" workbookViewId="0">
      <selection activeCell="L15" sqref="L15"/>
    </sheetView>
  </sheetViews>
  <sheetFormatPr defaultRowHeight="13.5" x14ac:dyDescent="0.15"/>
  <cols>
    <col min="2" max="2" width="16.25" customWidth="1"/>
    <col min="4" max="4" width="10.5" customWidth="1"/>
  </cols>
  <sheetData>
    <row r="1" spans="2:7" x14ac:dyDescent="0.15">
      <c r="B1" s="30"/>
      <c r="C1" s="30" t="s">
        <v>389</v>
      </c>
      <c r="D1" s="34" t="s">
        <v>379</v>
      </c>
      <c r="E1" s="34"/>
      <c r="F1" s="34"/>
      <c r="G1" s="34"/>
    </row>
    <row r="2" spans="2:7" x14ac:dyDescent="0.15">
      <c r="B2" s="30"/>
      <c r="C2" s="30" t="s">
        <v>388</v>
      </c>
      <c r="D2" s="30" t="s">
        <v>286</v>
      </c>
      <c r="E2" s="30" t="s">
        <v>376</v>
      </c>
      <c r="F2" s="30" t="s">
        <v>377</v>
      </c>
      <c r="G2" s="30" t="s">
        <v>378</v>
      </c>
    </row>
    <row r="3" spans="2:7" x14ac:dyDescent="0.15">
      <c r="B3" s="28" t="s">
        <v>294</v>
      </c>
      <c r="C3" s="28">
        <v>3</v>
      </c>
      <c r="D3">
        <v>26</v>
      </c>
      <c r="E3">
        <v>0</v>
      </c>
      <c r="F3">
        <v>13</v>
      </c>
      <c r="G3">
        <v>15</v>
      </c>
    </row>
    <row r="4" spans="2:7" x14ac:dyDescent="0.15">
      <c r="B4" s="28" t="s">
        <v>289</v>
      </c>
      <c r="C4" s="28">
        <v>3</v>
      </c>
      <c r="D4">
        <v>28</v>
      </c>
      <c r="E4">
        <v>0</v>
      </c>
      <c r="F4">
        <v>15</v>
      </c>
      <c r="G4">
        <v>15</v>
      </c>
    </row>
    <row r="5" spans="2:7" x14ac:dyDescent="0.15">
      <c r="B5" s="28" t="s">
        <v>291</v>
      </c>
      <c r="C5" s="28">
        <v>3</v>
      </c>
      <c r="D5">
        <v>28</v>
      </c>
      <c r="E5">
        <v>0</v>
      </c>
      <c r="F5">
        <v>14</v>
      </c>
      <c r="G5">
        <v>15</v>
      </c>
    </row>
    <row r="6" spans="2:7" x14ac:dyDescent="0.15">
      <c r="B6" s="28" t="s">
        <v>276</v>
      </c>
      <c r="C6" s="28">
        <v>3</v>
      </c>
      <c r="D6">
        <v>29.5</v>
      </c>
      <c r="E6">
        <v>0</v>
      </c>
      <c r="F6">
        <v>12</v>
      </c>
      <c r="G6">
        <v>15</v>
      </c>
    </row>
    <row r="7" spans="2:7" x14ac:dyDescent="0.15">
      <c r="B7" s="28" t="s">
        <v>19</v>
      </c>
      <c r="C7" s="28">
        <v>3</v>
      </c>
      <c r="D7">
        <v>33.5</v>
      </c>
      <c r="E7">
        <v>0</v>
      </c>
      <c r="F7">
        <v>14</v>
      </c>
      <c r="G7">
        <v>13</v>
      </c>
    </row>
    <row r="8" spans="2:7" x14ac:dyDescent="0.15">
      <c r="B8" s="28" t="s">
        <v>285</v>
      </c>
      <c r="C8" s="28">
        <v>3</v>
      </c>
      <c r="D8">
        <v>35</v>
      </c>
      <c r="E8">
        <v>0</v>
      </c>
      <c r="F8">
        <v>13</v>
      </c>
      <c r="G8">
        <v>15</v>
      </c>
    </row>
    <row r="9" spans="2:7" x14ac:dyDescent="0.15">
      <c r="B9" s="28" t="s">
        <v>293</v>
      </c>
      <c r="C9" s="28">
        <v>3</v>
      </c>
      <c r="D9">
        <v>37.5</v>
      </c>
      <c r="E9">
        <v>0</v>
      </c>
      <c r="F9">
        <v>13</v>
      </c>
      <c r="G9">
        <v>15</v>
      </c>
    </row>
    <row r="10" spans="2:7" x14ac:dyDescent="0.15">
      <c r="B10" s="28" t="s">
        <v>234</v>
      </c>
      <c r="C10" s="28">
        <v>3</v>
      </c>
      <c r="D10">
        <v>38.5</v>
      </c>
      <c r="E10">
        <v>0</v>
      </c>
      <c r="F10">
        <v>15</v>
      </c>
      <c r="G10">
        <v>14</v>
      </c>
    </row>
    <row r="11" spans="2:7" x14ac:dyDescent="0.15">
      <c r="B11" s="28" t="s">
        <v>46</v>
      </c>
      <c r="C11" s="28">
        <v>3</v>
      </c>
      <c r="D11">
        <v>39</v>
      </c>
      <c r="E11">
        <v>1</v>
      </c>
      <c r="F11">
        <v>15</v>
      </c>
      <c r="G11">
        <v>14</v>
      </c>
    </row>
    <row r="12" spans="2:7" x14ac:dyDescent="0.15">
      <c r="B12" s="28" t="s">
        <v>212</v>
      </c>
      <c r="C12" s="28">
        <v>3</v>
      </c>
      <c r="D12">
        <v>40</v>
      </c>
      <c r="E12">
        <v>15</v>
      </c>
      <c r="F12">
        <v>15</v>
      </c>
      <c r="G12">
        <v>15</v>
      </c>
    </row>
    <row r="13" spans="2:7" x14ac:dyDescent="0.15">
      <c r="B13" s="28" t="s">
        <v>283</v>
      </c>
      <c r="C13" s="28">
        <v>3</v>
      </c>
      <c r="D13">
        <v>40</v>
      </c>
      <c r="E13">
        <v>8</v>
      </c>
      <c r="F13">
        <v>15</v>
      </c>
      <c r="G13">
        <v>15</v>
      </c>
    </row>
    <row r="14" spans="2:7" x14ac:dyDescent="0.15">
      <c r="B14" s="28" t="s">
        <v>33</v>
      </c>
      <c r="C14" s="28">
        <v>3</v>
      </c>
      <c r="D14">
        <v>40</v>
      </c>
      <c r="E14">
        <v>15</v>
      </c>
      <c r="F14">
        <v>15</v>
      </c>
      <c r="G14">
        <v>15</v>
      </c>
    </row>
    <row r="15" spans="2:7" x14ac:dyDescent="0.15">
      <c r="B15" s="28" t="s">
        <v>35</v>
      </c>
      <c r="C15" s="28">
        <v>3</v>
      </c>
      <c r="D15">
        <v>40</v>
      </c>
      <c r="E15">
        <v>15</v>
      </c>
      <c r="F15">
        <v>15</v>
      </c>
      <c r="G15">
        <v>15</v>
      </c>
    </row>
    <row r="16" spans="2:7" x14ac:dyDescent="0.15">
      <c r="B16" s="28" t="s">
        <v>61</v>
      </c>
      <c r="C16" s="28">
        <v>3</v>
      </c>
      <c r="D16">
        <v>40</v>
      </c>
      <c r="E16">
        <v>15</v>
      </c>
      <c r="F16">
        <v>15</v>
      </c>
      <c r="G16">
        <v>15</v>
      </c>
    </row>
    <row r="17" spans="2:10" x14ac:dyDescent="0.15">
      <c r="B17" s="28" t="s">
        <v>287</v>
      </c>
      <c r="C17" s="28">
        <v>3</v>
      </c>
      <c r="D17">
        <v>40</v>
      </c>
      <c r="E17">
        <v>15</v>
      </c>
      <c r="F17">
        <v>15</v>
      </c>
      <c r="G17">
        <v>15</v>
      </c>
    </row>
    <row r="18" spans="2:10" x14ac:dyDescent="0.15">
      <c r="B18" s="29" t="s">
        <v>340</v>
      </c>
      <c r="C18" s="29">
        <v>2</v>
      </c>
      <c r="D18">
        <v>22.5</v>
      </c>
      <c r="E18">
        <v>0</v>
      </c>
      <c r="F18">
        <v>15</v>
      </c>
      <c r="G18">
        <v>13</v>
      </c>
    </row>
    <row r="19" spans="2:10" x14ac:dyDescent="0.15">
      <c r="B19" s="29" t="s">
        <v>355</v>
      </c>
      <c r="C19" s="29">
        <v>2</v>
      </c>
      <c r="D19">
        <v>23</v>
      </c>
      <c r="E19">
        <v>0</v>
      </c>
      <c r="F19">
        <v>15</v>
      </c>
      <c r="G19">
        <v>12</v>
      </c>
    </row>
    <row r="20" spans="2:10" x14ac:dyDescent="0.15">
      <c r="B20" s="29" t="s">
        <v>357</v>
      </c>
      <c r="C20" s="29">
        <v>2</v>
      </c>
      <c r="D20">
        <v>23</v>
      </c>
      <c r="E20">
        <v>2</v>
      </c>
      <c r="F20">
        <v>15</v>
      </c>
      <c r="G20">
        <v>14</v>
      </c>
    </row>
    <row r="21" spans="2:10" x14ac:dyDescent="0.15">
      <c r="B21" s="29" t="s">
        <v>342</v>
      </c>
      <c r="C21" s="29">
        <v>2</v>
      </c>
      <c r="D21">
        <v>23.5</v>
      </c>
      <c r="E21">
        <v>0</v>
      </c>
      <c r="F21">
        <v>14</v>
      </c>
      <c r="G21">
        <v>13</v>
      </c>
    </row>
    <row r="22" spans="2:10" x14ac:dyDescent="0.15">
      <c r="B22" s="29" t="s">
        <v>335</v>
      </c>
      <c r="C22" s="29">
        <v>2</v>
      </c>
      <c r="D22">
        <v>24.5</v>
      </c>
      <c r="E22">
        <v>0</v>
      </c>
      <c r="F22">
        <v>15</v>
      </c>
      <c r="G22">
        <v>13</v>
      </c>
    </row>
    <row r="23" spans="2:10" x14ac:dyDescent="0.15">
      <c r="B23" s="29" t="s">
        <v>359</v>
      </c>
      <c r="C23" s="29">
        <v>2</v>
      </c>
      <c r="D23">
        <v>24.5</v>
      </c>
      <c r="E23">
        <v>2</v>
      </c>
      <c r="F23">
        <v>15</v>
      </c>
      <c r="G23">
        <v>15</v>
      </c>
    </row>
    <row r="24" spans="2:10" x14ac:dyDescent="0.15">
      <c r="B24" s="29" t="s">
        <v>320</v>
      </c>
      <c r="C24" s="29">
        <v>2</v>
      </c>
      <c r="D24">
        <v>24.5</v>
      </c>
      <c r="E24">
        <v>0</v>
      </c>
      <c r="F24">
        <v>10</v>
      </c>
      <c r="G24">
        <v>14</v>
      </c>
      <c r="H24" t="s">
        <v>304</v>
      </c>
      <c r="I24" t="s">
        <v>305</v>
      </c>
      <c r="J24" t="s">
        <v>42</v>
      </c>
    </row>
    <row r="25" spans="2:10" x14ac:dyDescent="0.15">
      <c r="B25" s="29" t="s">
        <v>338</v>
      </c>
      <c r="C25" s="29">
        <v>2</v>
      </c>
      <c r="D25">
        <v>24.5</v>
      </c>
      <c r="E25">
        <v>0</v>
      </c>
      <c r="F25">
        <v>12</v>
      </c>
      <c r="G25">
        <v>13</v>
      </c>
    </row>
    <row r="26" spans="2:10" x14ac:dyDescent="0.15">
      <c r="B26" s="29" t="s">
        <v>361</v>
      </c>
      <c r="C26" s="29">
        <v>2</v>
      </c>
      <c r="D26">
        <v>25</v>
      </c>
      <c r="E26">
        <v>1</v>
      </c>
      <c r="F26">
        <v>15</v>
      </c>
      <c r="G26">
        <v>8</v>
      </c>
    </row>
    <row r="27" spans="2:10" x14ac:dyDescent="0.15">
      <c r="B27" s="29" t="s">
        <v>323</v>
      </c>
      <c r="C27" s="29">
        <v>2</v>
      </c>
      <c r="D27">
        <v>25.5</v>
      </c>
      <c r="E27">
        <v>0</v>
      </c>
      <c r="F27">
        <v>14</v>
      </c>
      <c r="G27">
        <v>15</v>
      </c>
    </row>
    <row r="28" spans="2:10" x14ac:dyDescent="0.15">
      <c r="B28" s="29" t="s">
        <v>255</v>
      </c>
      <c r="C28" s="29">
        <v>2</v>
      </c>
      <c r="D28">
        <v>26.5</v>
      </c>
      <c r="E28">
        <v>1</v>
      </c>
      <c r="F28">
        <v>15</v>
      </c>
      <c r="G28">
        <v>14</v>
      </c>
    </row>
    <row r="29" spans="2:10" x14ac:dyDescent="0.15">
      <c r="B29" s="29" t="s">
        <v>104</v>
      </c>
      <c r="C29" s="29">
        <v>2</v>
      </c>
      <c r="D29">
        <v>27</v>
      </c>
      <c r="E29">
        <v>0</v>
      </c>
      <c r="F29">
        <v>14</v>
      </c>
      <c r="G29">
        <v>12</v>
      </c>
    </row>
    <row r="30" spans="2:10" x14ac:dyDescent="0.15">
      <c r="B30" s="29" t="s">
        <v>90</v>
      </c>
      <c r="C30" s="29">
        <v>2</v>
      </c>
      <c r="D30">
        <v>27</v>
      </c>
      <c r="E30">
        <v>1</v>
      </c>
      <c r="F30">
        <v>15</v>
      </c>
      <c r="G30">
        <v>12</v>
      </c>
    </row>
    <row r="31" spans="2:10" x14ac:dyDescent="0.15">
      <c r="B31" s="29" t="s">
        <v>322</v>
      </c>
      <c r="C31" s="29">
        <v>2</v>
      </c>
      <c r="D31">
        <v>27</v>
      </c>
      <c r="E31">
        <v>0</v>
      </c>
      <c r="F31">
        <v>12</v>
      </c>
      <c r="G31">
        <v>15</v>
      </c>
    </row>
    <row r="32" spans="2:10" x14ac:dyDescent="0.15">
      <c r="B32" s="29" t="s">
        <v>302</v>
      </c>
      <c r="C32" s="29">
        <v>2</v>
      </c>
      <c r="D32">
        <v>27.5</v>
      </c>
      <c r="E32">
        <v>0</v>
      </c>
      <c r="F32">
        <v>15</v>
      </c>
      <c r="G32">
        <v>14</v>
      </c>
    </row>
    <row r="33" spans="2:7" x14ac:dyDescent="0.15">
      <c r="B33" s="29" t="s">
        <v>353</v>
      </c>
      <c r="C33" s="29">
        <v>2</v>
      </c>
      <c r="D33">
        <v>28.5</v>
      </c>
      <c r="E33">
        <v>0</v>
      </c>
      <c r="F33">
        <v>8</v>
      </c>
      <c r="G33">
        <v>15</v>
      </c>
    </row>
    <row r="34" spans="2:7" x14ac:dyDescent="0.15">
      <c r="B34" s="29" t="s">
        <v>98</v>
      </c>
      <c r="C34" s="29">
        <v>2</v>
      </c>
      <c r="D34">
        <v>28.5</v>
      </c>
      <c r="E34">
        <v>1</v>
      </c>
      <c r="F34">
        <v>15</v>
      </c>
      <c r="G34">
        <v>15</v>
      </c>
    </row>
    <row r="35" spans="2:7" x14ac:dyDescent="0.15">
      <c r="B35" s="29" t="s">
        <v>348</v>
      </c>
      <c r="C35" s="29">
        <v>2</v>
      </c>
      <c r="D35">
        <v>29</v>
      </c>
      <c r="E35">
        <v>0</v>
      </c>
      <c r="F35">
        <v>15</v>
      </c>
      <c r="G35">
        <v>15</v>
      </c>
    </row>
    <row r="36" spans="2:7" x14ac:dyDescent="0.15">
      <c r="B36" s="29" t="s">
        <v>308</v>
      </c>
      <c r="C36" s="29">
        <v>2</v>
      </c>
      <c r="D36">
        <v>29.5</v>
      </c>
      <c r="E36">
        <v>1</v>
      </c>
      <c r="F36">
        <v>15</v>
      </c>
      <c r="G36">
        <v>15</v>
      </c>
    </row>
    <row r="37" spans="2:7" x14ac:dyDescent="0.15">
      <c r="B37" s="29" t="s">
        <v>331</v>
      </c>
      <c r="C37" s="29">
        <v>2</v>
      </c>
      <c r="D37">
        <v>30.5</v>
      </c>
      <c r="E37">
        <v>0</v>
      </c>
      <c r="F37">
        <v>12</v>
      </c>
      <c r="G37">
        <v>15</v>
      </c>
    </row>
    <row r="38" spans="2:7" x14ac:dyDescent="0.15">
      <c r="B38" s="29" t="s">
        <v>279</v>
      </c>
      <c r="C38" s="29">
        <v>2</v>
      </c>
      <c r="D38">
        <v>31</v>
      </c>
      <c r="E38">
        <v>0</v>
      </c>
      <c r="F38">
        <v>15</v>
      </c>
      <c r="G38">
        <v>14</v>
      </c>
    </row>
    <row r="39" spans="2:7" x14ac:dyDescent="0.15">
      <c r="B39" s="29" t="s">
        <v>300</v>
      </c>
      <c r="C39" s="29">
        <v>2</v>
      </c>
      <c r="D39">
        <v>31.5</v>
      </c>
      <c r="E39">
        <v>0</v>
      </c>
      <c r="F39">
        <v>15</v>
      </c>
      <c r="G39">
        <v>15</v>
      </c>
    </row>
    <row r="40" spans="2:7" x14ac:dyDescent="0.15">
      <c r="B40" s="29" t="s">
        <v>336</v>
      </c>
      <c r="C40" s="29">
        <v>2</v>
      </c>
      <c r="D40">
        <v>31.5</v>
      </c>
      <c r="E40">
        <v>0</v>
      </c>
      <c r="F40">
        <v>15</v>
      </c>
      <c r="G40">
        <v>10</v>
      </c>
    </row>
    <row r="41" spans="2:7" x14ac:dyDescent="0.15">
      <c r="B41" s="29" t="s">
        <v>337</v>
      </c>
      <c r="C41" s="29">
        <v>2</v>
      </c>
      <c r="D41">
        <v>31.5</v>
      </c>
      <c r="E41">
        <v>0</v>
      </c>
      <c r="F41">
        <v>15</v>
      </c>
      <c r="G41">
        <v>10</v>
      </c>
    </row>
    <row r="42" spans="2:7" x14ac:dyDescent="0.15">
      <c r="B42" s="29" t="s">
        <v>303</v>
      </c>
      <c r="C42" s="29">
        <v>2</v>
      </c>
      <c r="D42">
        <v>32</v>
      </c>
      <c r="E42">
        <v>0</v>
      </c>
      <c r="F42">
        <v>13</v>
      </c>
      <c r="G42">
        <v>15</v>
      </c>
    </row>
    <row r="43" spans="2:7" x14ac:dyDescent="0.15">
      <c r="B43" s="29" t="s">
        <v>315</v>
      </c>
      <c r="C43" s="29">
        <v>2</v>
      </c>
      <c r="D43">
        <v>32</v>
      </c>
      <c r="E43">
        <v>0</v>
      </c>
      <c r="F43">
        <v>15</v>
      </c>
      <c r="G43">
        <v>15</v>
      </c>
    </row>
    <row r="44" spans="2:7" x14ac:dyDescent="0.15">
      <c r="B44" s="29" t="s">
        <v>349</v>
      </c>
      <c r="C44" s="29">
        <v>2</v>
      </c>
      <c r="D44">
        <v>32</v>
      </c>
      <c r="E44">
        <v>0</v>
      </c>
      <c r="F44">
        <v>14</v>
      </c>
      <c r="G44">
        <v>15</v>
      </c>
    </row>
    <row r="45" spans="2:7" x14ac:dyDescent="0.15">
      <c r="B45" s="29" t="s">
        <v>318</v>
      </c>
      <c r="C45" s="29">
        <v>2</v>
      </c>
      <c r="D45">
        <v>33.5</v>
      </c>
      <c r="E45">
        <v>0</v>
      </c>
      <c r="F45">
        <v>15</v>
      </c>
      <c r="G45">
        <v>15</v>
      </c>
    </row>
    <row r="46" spans="2:7" x14ac:dyDescent="0.15">
      <c r="B46" s="29" t="s">
        <v>249</v>
      </c>
      <c r="C46" s="29">
        <v>2</v>
      </c>
      <c r="D46">
        <v>34.5</v>
      </c>
      <c r="E46">
        <v>1</v>
      </c>
      <c r="F46">
        <v>15</v>
      </c>
      <c r="G46">
        <v>14</v>
      </c>
    </row>
    <row r="47" spans="2:7" x14ac:dyDescent="0.15">
      <c r="B47" s="29" t="s">
        <v>103</v>
      </c>
      <c r="C47" s="29">
        <v>2</v>
      </c>
      <c r="D47">
        <v>34.5</v>
      </c>
      <c r="E47">
        <v>0</v>
      </c>
      <c r="F47">
        <v>15</v>
      </c>
      <c r="G47">
        <v>15</v>
      </c>
    </row>
    <row r="48" spans="2:7" x14ac:dyDescent="0.15">
      <c r="B48" s="29" t="s">
        <v>367</v>
      </c>
      <c r="C48" s="29">
        <v>2</v>
      </c>
      <c r="D48">
        <v>34.5</v>
      </c>
      <c r="E48">
        <v>1</v>
      </c>
      <c r="F48">
        <v>15</v>
      </c>
      <c r="G48">
        <v>14</v>
      </c>
    </row>
    <row r="49" spans="2:7" x14ac:dyDescent="0.15">
      <c r="B49" s="29" t="s">
        <v>296</v>
      </c>
      <c r="C49" s="29">
        <v>2</v>
      </c>
      <c r="D49">
        <v>35</v>
      </c>
      <c r="E49">
        <v>0</v>
      </c>
      <c r="F49">
        <v>13</v>
      </c>
      <c r="G49">
        <v>15</v>
      </c>
    </row>
    <row r="50" spans="2:7" x14ac:dyDescent="0.15">
      <c r="B50" s="29" t="s">
        <v>310</v>
      </c>
      <c r="C50" s="29">
        <v>2</v>
      </c>
      <c r="D50">
        <v>35.5</v>
      </c>
      <c r="E50">
        <v>1</v>
      </c>
      <c r="F50">
        <v>15</v>
      </c>
      <c r="G50">
        <v>14</v>
      </c>
    </row>
    <row r="51" spans="2:7" x14ac:dyDescent="0.15">
      <c r="B51" s="29" t="s">
        <v>312</v>
      </c>
      <c r="C51" s="29">
        <v>2</v>
      </c>
      <c r="D51">
        <v>36</v>
      </c>
      <c r="E51">
        <v>0</v>
      </c>
      <c r="F51">
        <v>13</v>
      </c>
      <c r="G51">
        <v>15</v>
      </c>
    </row>
    <row r="52" spans="2:7" x14ac:dyDescent="0.15">
      <c r="B52" s="29" t="s">
        <v>327</v>
      </c>
      <c r="C52" s="29">
        <v>2</v>
      </c>
      <c r="D52">
        <v>37.5</v>
      </c>
      <c r="E52">
        <v>0</v>
      </c>
      <c r="F52">
        <v>5</v>
      </c>
      <c r="G52">
        <v>15</v>
      </c>
    </row>
    <row r="53" spans="2:7" x14ac:dyDescent="0.15">
      <c r="B53" s="29" t="s">
        <v>325</v>
      </c>
      <c r="C53" s="29">
        <v>2</v>
      </c>
      <c r="D53">
        <v>38.5</v>
      </c>
      <c r="E53">
        <v>0</v>
      </c>
      <c r="F53">
        <v>11</v>
      </c>
      <c r="G53">
        <v>15</v>
      </c>
    </row>
    <row r="54" spans="2:7" x14ac:dyDescent="0.15">
      <c r="B54" s="29" t="s">
        <v>333</v>
      </c>
      <c r="C54" s="29">
        <v>2</v>
      </c>
      <c r="D54">
        <v>39.5</v>
      </c>
      <c r="E54">
        <v>5</v>
      </c>
      <c r="F54">
        <v>15</v>
      </c>
      <c r="G54">
        <v>14</v>
      </c>
    </row>
    <row r="55" spans="2:7" x14ac:dyDescent="0.15">
      <c r="B55" s="29" t="s">
        <v>23</v>
      </c>
      <c r="C55" s="29">
        <v>2</v>
      </c>
      <c r="D55">
        <v>40</v>
      </c>
      <c r="E55">
        <v>5</v>
      </c>
      <c r="F55">
        <v>15</v>
      </c>
      <c r="G55">
        <v>15</v>
      </c>
    </row>
    <row r="56" spans="2:7" x14ac:dyDescent="0.15">
      <c r="B56" s="29" t="s">
        <v>235</v>
      </c>
      <c r="C56" s="29">
        <v>2</v>
      </c>
      <c r="D56">
        <v>40</v>
      </c>
      <c r="E56">
        <v>4</v>
      </c>
      <c r="F56">
        <v>15</v>
      </c>
      <c r="G56">
        <v>14</v>
      </c>
    </row>
    <row r="57" spans="2:7" x14ac:dyDescent="0.15">
      <c r="B57" s="29" t="s">
        <v>346</v>
      </c>
      <c r="C57" s="29">
        <v>2</v>
      </c>
      <c r="D57">
        <v>40</v>
      </c>
      <c r="E57">
        <v>15</v>
      </c>
      <c r="F57">
        <v>15</v>
      </c>
      <c r="G57">
        <v>15</v>
      </c>
    </row>
    <row r="58" spans="2:7" x14ac:dyDescent="0.15">
      <c r="B58" s="29" t="s">
        <v>363</v>
      </c>
      <c r="C58" s="29">
        <v>2</v>
      </c>
      <c r="D58">
        <v>40</v>
      </c>
      <c r="E58">
        <v>15</v>
      </c>
      <c r="F58">
        <v>15</v>
      </c>
      <c r="G58">
        <v>15</v>
      </c>
    </row>
    <row r="59" spans="2:7" x14ac:dyDescent="0.15">
      <c r="B59" s="29" t="s">
        <v>298</v>
      </c>
      <c r="C59" s="29">
        <v>2</v>
      </c>
      <c r="D59">
        <v>40</v>
      </c>
      <c r="E59">
        <v>15</v>
      </c>
      <c r="F59">
        <v>15</v>
      </c>
      <c r="G59">
        <v>15</v>
      </c>
    </row>
    <row r="60" spans="2:7" x14ac:dyDescent="0.15">
      <c r="B60" s="29" t="s">
        <v>313</v>
      </c>
      <c r="C60" s="29">
        <v>2</v>
      </c>
      <c r="D60">
        <v>40</v>
      </c>
      <c r="E60">
        <v>15</v>
      </c>
      <c r="F60">
        <v>15</v>
      </c>
      <c r="G60">
        <v>15</v>
      </c>
    </row>
    <row r="61" spans="2:7" x14ac:dyDescent="0.15">
      <c r="B61" s="29" t="s">
        <v>329</v>
      </c>
      <c r="C61" s="29">
        <v>2</v>
      </c>
      <c r="D61">
        <v>40</v>
      </c>
      <c r="E61">
        <v>15</v>
      </c>
      <c r="F61">
        <v>15</v>
      </c>
      <c r="G61">
        <v>15</v>
      </c>
    </row>
    <row r="62" spans="2:7" x14ac:dyDescent="0.15">
      <c r="B62" s="29" t="s">
        <v>334</v>
      </c>
      <c r="C62" s="29">
        <v>2</v>
      </c>
      <c r="D62">
        <v>40</v>
      </c>
      <c r="E62">
        <v>1</v>
      </c>
      <c r="F62">
        <v>15</v>
      </c>
      <c r="G62">
        <v>15</v>
      </c>
    </row>
    <row r="63" spans="2:7" x14ac:dyDescent="0.15">
      <c r="B63" s="29" t="s">
        <v>344</v>
      </c>
      <c r="C63" s="29">
        <v>2</v>
      </c>
      <c r="D63">
        <v>40</v>
      </c>
      <c r="E63">
        <v>15</v>
      </c>
      <c r="F63">
        <v>15</v>
      </c>
      <c r="G63">
        <v>15</v>
      </c>
    </row>
    <row r="64" spans="2:7" x14ac:dyDescent="0.15">
      <c r="B64" s="29" t="s">
        <v>99</v>
      </c>
      <c r="C64" s="29">
        <v>2</v>
      </c>
      <c r="D64">
        <v>40</v>
      </c>
      <c r="E64">
        <v>15</v>
      </c>
      <c r="F64">
        <v>15</v>
      </c>
      <c r="G64">
        <v>14</v>
      </c>
    </row>
    <row r="65" spans="2:7" x14ac:dyDescent="0.15">
      <c r="B65" s="29" t="s">
        <v>351</v>
      </c>
      <c r="C65" s="29">
        <v>2</v>
      </c>
      <c r="D65">
        <v>40</v>
      </c>
      <c r="E65">
        <v>1</v>
      </c>
      <c r="F65">
        <v>15</v>
      </c>
      <c r="G65">
        <v>14</v>
      </c>
    </row>
    <row r="66" spans="2:7" x14ac:dyDescent="0.15">
      <c r="B66" s="29" t="s">
        <v>365</v>
      </c>
      <c r="C66" s="29">
        <v>2</v>
      </c>
      <c r="D66">
        <v>40</v>
      </c>
      <c r="E66">
        <v>10</v>
      </c>
      <c r="F66">
        <v>15</v>
      </c>
      <c r="G66">
        <v>14</v>
      </c>
    </row>
    <row r="67" spans="2:7" x14ac:dyDescent="0.15">
      <c r="B67" s="29" t="s">
        <v>369</v>
      </c>
      <c r="C67" s="29">
        <v>2</v>
      </c>
      <c r="D67">
        <v>40</v>
      </c>
      <c r="E67">
        <v>15</v>
      </c>
      <c r="F67">
        <v>15</v>
      </c>
      <c r="G67">
        <v>15</v>
      </c>
    </row>
  </sheetData>
  <autoFilter ref="B2:G17">
    <sortState ref="B3:G67">
      <sortCondition descending="1" ref="C2:C17"/>
    </sortState>
  </autoFilter>
  <mergeCells count="1">
    <mergeCell ref="D1:G1"/>
  </mergeCells>
  <phoneticPr fontId="1"/>
  <conditionalFormatting sqref="D3:D1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{2F180A6F-0C21-4759-9641-99405425E45C}</x14:id>
        </ext>
      </extLst>
    </cfRule>
  </conditionalFormatting>
  <conditionalFormatting sqref="D18:D6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{99815E30-9DA7-4286-AD97-D075472A169E}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180A6F-0C21-4759-9641-99405425E4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D3:D17</xm:sqref>
        </x14:conditionalFormatting>
        <x14:conditionalFormatting xmlns:xm="http://schemas.microsoft.com/office/excel/2006/main">
          <x14:cfRule type="dataBar" id="{99815E30-9DA7-4286-AD97-D075472A16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D18:D67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S33"/>
  <sheetViews>
    <sheetView zoomScale="85" zoomScaleNormal="85" workbookViewId="0">
      <selection activeCell="C48" sqref="C48"/>
    </sheetView>
  </sheetViews>
  <sheetFormatPr defaultRowHeight="13.5" x14ac:dyDescent="0.15"/>
  <cols>
    <col min="1" max="1" width="11.625" style="6" bestFit="1" customWidth="1"/>
    <col min="2" max="3" width="9.5" style="2" customWidth="1"/>
    <col min="4" max="4" width="3.125" style="2" customWidth="1"/>
    <col min="5" max="5" width="3.125" customWidth="1"/>
    <col min="6" max="6" width="9.5" bestFit="1" customWidth="1"/>
    <col min="7" max="8" width="4" customWidth="1"/>
    <col min="10" max="11" width="3.375" customWidth="1"/>
    <col min="12" max="12" width="7.25" customWidth="1"/>
    <col min="13" max="14" width="3.375" customWidth="1"/>
    <col min="15" max="15" width="7.25" customWidth="1"/>
    <col min="16" max="17" width="3.375" customWidth="1"/>
    <col min="18" max="18" width="7.25" customWidth="1"/>
    <col min="19" max="20" width="3.375" customWidth="1"/>
    <col min="21" max="21" width="7.25" customWidth="1"/>
    <col min="22" max="23" width="3.375" customWidth="1"/>
    <col min="24" max="24" width="7.25" customWidth="1"/>
    <col min="25" max="26" width="3.375" customWidth="1"/>
    <col min="27" max="27" width="7.25" customWidth="1"/>
    <col min="28" max="29" width="3.375" customWidth="1"/>
    <col min="30" max="30" width="7.25" customWidth="1"/>
    <col min="31" max="32" width="3.375" customWidth="1"/>
    <col min="33" max="33" width="7.25" customWidth="1"/>
    <col min="34" max="35" width="3.375" customWidth="1"/>
    <col min="36" max="36" width="7.25" customWidth="1"/>
    <col min="37" max="38" width="3.375" customWidth="1"/>
    <col min="39" max="39" width="7.25" customWidth="1"/>
    <col min="40" max="41" width="3.375" customWidth="1"/>
    <col min="42" max="42" width="7.25" customWidth="1"/>
  </cols>
  <sheetData>
    <row r="1" spans="1:45" x14ac:dyDescent="0.15">
      <c r="A1" s="6">
        <v>43770</v>
      </c>
    </row>
    <row r="2" spans="1:45" x14ac:dyDescent="0.15">
      <c r="C2" s="2" t="s">
        <v>2</v>
      </c>
      <c r="D2" t="s">
        <v>0</v>
      </c>
      <c r="E2" t="s">
        <v>0</v>
      </c>
      <c r="F2" t="s">
        <v>0</v>
      </c>
      <c r="G2" t="s">
        <v>1</v>
      </c>
      <c r="H2" t="s">
        <v>1</v>
      </c>
      <c r="I2" t="s">
        <v>1</v>
      </c>
      <c r="J2" t="s">
        <v>6</v>
      </c>
      <c r="K2" t="s">
        <v>6</v>
      </c>
      <c r="L2" t="s">
        <v>6</v>
      </c>
      <c r="M2" t="s">
        <v>7</v>
      </c>
      <c r="N2" t="str">
        <f>M2</f>
        <v>まみ</v>
      </c>
      <c r="O2" t="str">
        <f>N2</f>
        <v>まみ</v>
      </c>
      <c r="P2" t="s">
        <v>8</v>
      </c>
      <c r="Q2" t="str">
        <f>P2</f>
        <v>ハルカス</v>
      </c>
      <c r="R2" t="str">
        <f>Q2</f>
        <v>ハルカス</v>
      </c>
      <c r="S2" t="s">
        <v>9</v>
      </c>
      <c r="T2" t="str">
        <f>S2</f>
        <v>すーちゃん</v>
      </c>
      <c r="U2" t="str">
        <f>T2</f>
        <v>すーちゃん</v>
      </c>
      <c r="V2" t="s">
        <v>10</v>
      </c>
      <c r="W2" t="str">
        <f>V2</f>
        <v>すぎ</v>
      </c>
      <c r="X2" t="str">
        <f>W2</f>
        <v>すぎ</v>
      </c>
      <c r="Y2" t="s">
        <v>11</v>
      </c>
      <c r="Z2" t="str">
        <f>Y2</f>
        <v>あいのすけ</v>
      </c>
      <c r="AA2" t="str">
        <f>Z2</f>
        <v>あいのすけ</v>
      </c>
      <c r="AB2" t="s">
        <v>12</v>
      </c>
      <c r="AC2" t="str">
        <f t="shared" ref="AC2:AD2" si="0">AB2</f>
        <v>なかしー</v>
      </c>
      <c r="AD2" t="str">
        <f t="shared" si="0"/>
        <v>なかしー</v>
      </c>
      <c r="AE2" t="s">
        <v>13</v>
      </c>
      <c r="AF2" t="str">
        <f t="shared" ref="AF2:AG2" si="1">AE2</f>
        <v>しお</v>
      </c>
      <c r="AG2" t="str">
        <f t="shared" si="1"/>
        <v>しお</v>
      </c>
      <c r="AH2" t="s">
        <v>17</v>
      </c>
      <c r="AI2" t="str">
        <f t="shared" ref="AI2:AJ2" si="2">AH2</f>
        <v>２左</v>
      </c>
      <c r="AJ2" t="str">
        <f t="shared" si="2"/>
        <v>２左</v>
      </c>
      <c r="AK2" t="s">
        <v>14</v>
      </c>
      <c r="AL2" t="str">
        <f t="shared" ref="AL2:AM2" si="3">AK2</f>
        <v>ほりえせかんど</v>
      </c>
      <c r="AM2" t="str">
        <f t="shared" si="3"/>
        <v>ほりえせかんど</v>
      </c>
      <c r="AN2" t="s">
        <v>15</v>
      </c>
      <c r="AO2" t="str">
        <f t="shared" ref="AO2:AP2" si="4">AN2</f>
        <v>ほりえさーど</v>
      </c>
      <c r="AP2" t="str">
        <f t="shared" si="4"/>
        <v>ほりえさーど</v>
      </c>
      <c r="AQ2" t="s">
        <v>16</v>
      </c>
      <c r="AR2" t="str">
        <f t="shared" ref="AR2" si="5">AQ2</f>
        <v>さお</v>
      </c>
      <c r="AS2" t="str">
        <f t="shared" ref="AS2" si="6">AR2</f>
        <v>さお</v>
      </c>
    </row>
    <row r="3" spans="1:45" x14ac:dyDescent="0.15">
      <c r="A3" s="6">
        <v>43770</v>
      </c>
      <c r="B3" s="2">
        <f>A3-$A$1</f>
        <v>0</v>
      </c>
      <c r="C3" s="2">
        <v>20000000</v>
      </c>
      <c r="D3" s="2">
        <v>39</v>
      </c>
      <c r="E3">
        <v>301829</v>
      </c>
      <c r="F3">
        <f>INDEX(経験値!$C$2:$C$41,MATCH(皆!D3,経験値!$A$2:$A$41,0))+E3</f>
        <v>15301829</v>
      </c>
      <c r="G3">
        <v>38</v>
      </c>
      <c r="H3">
        <v>1505305</v>
      </c>
      <c r="I3">
        <f>INDEX(経験値!$C$2:$C$41,MATCH(皆!G3,経験値!$A$2:$A$41,0))+H3</f>
        <v>13505305</v>
      </c>
    </row>
    <row r="4" spans="1:45" x14ac:dyDescent="0.15">
      <c r="A4" s="6">
        <v>43777</v>
      </c>
      <c r="B4" s="2">
        <f t="shared" ref="B4:B29" si="7">A4-$A$1</f>
        <v>7</v>
      </c>
      <c r="C4" s="2">
        <v>20000000</v>
      </c>
      <c r="D4" s="2">
        <v>39</v>
      </c>
      <c r="E4">
        <v>559954</v>
      </c>
      <c r="F4">
        <f>INDEX(経験値!$C$2:$C$41,MATCH(皆!D4,経験値!$A$2:$A$41,0))+E4</f>
        <v>15559954</v>
      </c>
      <c r="G4">
        <v>38</v>
      </c>
      <c r="H4">
        <v>2119112</v>
      </c>
      <c r="I4">
        <f>INDEX(経験値!$C$2:$C$41,MATCH(皆!G4,経験値!$A$2:$A$41,0))+H4</f>
        <v>14119112</v>
      </c>
    </row>
    <row r="5" spans="1:45" x14ac:dyDescent="0.15">
      <c r="A5" s="6">
        <v>43779</v>
      </c>
      <c r="B5" s="2">
        <f t="shared" si="7"/>
        <v>9</v>
      </c>
      <c r="C5" s="2">
        <v>20000000</v>
      </c>
      <c r="D5" s="2">
        <v>39</v>
      </c>
      <c r="E5">
        <v>612586</v>
      </c>
      <c r="F5">
        <f>INDEX(経験値!$C$2:$C$41,MATCH(皆!D5,経験値!$A$2:$A$41,0))+E5</f>
        <v>15612586</v>
      </c>
      <c r="G5">
        <v>38</v>
      </c>
      <c r="H5">
        <v>2228006</v>
      </c>
      <c r="I5">
        <f>INDEX(経験値!$C$2:$C$41,MATCH(皆!G5,経験値!$A$2:$A$41,0))+H5</f>
        <v>14228006</v>
      </c>
    </row>
    <row r="6" spans="1:45" x14ac:dyDescent="0.15">
      <c r="A6" s="6">
        <v>43782</v>
      </c>
      <c r="B6" s="2">
        <f t="shared" si="7"/>
        <v>12</v>
      </c>
      <c r="C6" s="2">
        <v>20000000</v>
      </c>
      <c r="D6" s="2">
        <v>39</v>
      </c>
      <c r="E6">
        <v>758591</v>
      </c>
      <c r="F6">
        <f>INDEX(経験値!$C$2:$C$41,MATCH(皆!D6,経験値!$A$2:$A$41,0))+E6</f>
        <v>15758591</v>
      </c>
      <c r="G6">
        <v>38</v>
      </c>
      <c r="H6">
        <v>2411721</v>
      </c>
      <c r="I6">
        <f>INDEX(経験値!$C$2:$C$41,MATCH(皆!G6,経験値!$A$2:$A$41,0))+H6</f>
        <v>14411721</v>
      </c>
      <c r="J6">
        <v>35</v>
      </c>
      <c r="K6">
        <v>1438020</v>
      </c>
      <c r="L6">
        <f>INDEX(経験値!$C$2:$C$41,MATCH(皆!J6,経験値!$A$2:$A$41,0))+K6</f>
        <v>7438020</v>
      </c>
      <c r="M6">
        <v>32</v>
      </c>
      <c r="N6">
        <v>543704</v>
      </c>
      <c r="O6">
        <f>INDEX(経験値!$C$2:$C$41,MATCH(皆!M6,経験値!$A$2:$A$41,0))+N6</f>
        <v>3543704</v>
      </c>
      <c r="P6">
        <v>35</v>
      </c>
      <c r="Q6">
        <v>953418</v>
      </c>
      <c r="R6">
        <f>INDEX(経験値!$C$2:$C$41,MATCH(皆!P6,経験値!$A$2:$A$41,0))+Q6</f>
        <v>6953418</v>
      </c>
      <c r="S6">
        <v>37</v>
      </c>
      <c r="T6">
        <v>2319390</v>
      </c>
      <c r="U6">
        <f>INDEX(経験値!$C$2:$C$41,MATCH(皆!S6,経験値!$A$2:$A$41,0))+T6</f>
        <v>11819390</v>
      </c>
      <c r="V6">
        <v>32</v>
      </c>
      <c r="W6">
        <v>26416</v>
      </c>
      <c r="X6">
        <f>INDEX(経験値!$C$2:$C$41,MATCH(皆!V6,経験値!$A$2:$A$41,0))+W6</f>
        <v>3026416</v>
      </c>
      <c r="Y6">
        <v>36</v>
      </c>
      <c r="Z6">
        <v>1087129</v>
      </c>
      <c r="AA6">
        <f>INDEX(経験値!$C$2:$C$41,MATCH(皆!Y6,経験値!$A$2:$A$41,0))+Z6</f>
        <v>8587129</v>
      </c>
      <c r="AB6">
        <v>29</v>
      </c>
      <c r="AC6">
        <v>88887</v>
      </c>
      <c r="AD6">
        <f>INDEX(経験値!$C$2:$C$41,MATCH(皆!AB6,経験値!$A$2:$A$41,0))+AC6</f>
        <v>1738887</v>
      </c>
      <c r="AE6">
        <v>36</v>
      </c>
      <c r="AF6">
        <v>566272</v>
      </c>
      <c r="AG6">
        <f>INDEX(経験値!$C$2:$C$41,MATCH(皆!AE6,経験値!$A$2:$A$41,0))+AF6</f>
        <v>8066272</v>
      </c>
      <c r="AH6">
        <v>25</v>
      </c>
      <c r="AI6">
        <v>97419</v>
      </c>
      <c r="AJ6">
        <f>INDEX(経験値!$C$2:$C$41,MATCH(皆!AH6,経験値!$A$2:$A$41,0))+AI6</f>
        <v>807419</v>
      </c>
      <c r="AK6">
        <v>33</v>
      </c>
      <c r="AL6">
        <v>864064</v>
      </c>
      <c r="AM6">
        <f>INDEX(経験値!$C$2:$C$41,MATCH(皆!AK6,経験値!$A$2:$A$41,0))+AL6</f>
        <v>4614064</v>
      </c>
      <c r="AN6">
        <v>28</v>
      </c>
      <c r="AO6">
        <v>82047</v>
      </c>
      <c r="AP6">
        <f>INDEX(経験値!$C$2:$C$41,MATCH(皆!AN6,経験値!$A$2:$A$41,0))+AO6</f>
        <v>1432047</v>
      </c>
    </row>
    <row r="7" spans="1:45" x14ac:dyDescent="0.15">
      <c r="A7" s="6">
        <v>43785</v>
      </c>
      <c r="B7" s="2">
        <f t="shared" si="7"/>
        <v>15</v>
      </c>
      <c r="D7" s="2">
        <v>39</v>
      </c>
      <c r="E7">
        <v>862166</v>
      </c>
      <c r="F7">
        <f>INDEX(経験値!$C$2:$C$41,MATCH(皆!D7,経験値!$A$2:$A$41,0))+E7</f>
        <v>15862166</v>
      </c>
      <c r="G7">
        <v>38</v>
      </c>
      <c r="H7" s="1">
        <v>2803139</v>
      </c>
      <c r="I7">
        <f>INDEX(経験値!$C$2:$C$41,MATCH(皆!G7,経験値!$A$2:$A$41,0))+H7</f>
        <v>14803139</v>
      </c>
      <c r="J7">
        <v>35</v>
      </c>
      <c r="K7">
        <v>1452735</v>
      </c>
      <c r="L7">
        <f>INDEX(経験値!$C$2:$C$41,MATCH(皆!J7,経験値!$A$2:$A$41,0))+K7</f>
        <v>7452735</v>
      </c>
      <c r="M7">
        <v>32</v>
      </c>
      <c r="N7">
        <v>580769</v>
      </c>
      <c r="O7">
        <f>INDEX(経験値!$C$2:$C$41,MATCH(皆!M7,経験値!$A$2:$A$41,0))+N7</f>
        <v>3580769</v>
      </c>
      <c r="P7">
        <v>35</v>
      </c>
      <c r="Q7">
        <v>959157</v>
      </c>
      <c r="R7">
        <f>INDEX(経験値!$C$2:$C$41,MATCH(皆!P7,経験値!$A$2:$A$41,0))+Q7</f>
        <v>6959157</v>
      </c>
      <c r="S7">
        <v>37</v>
      </c>
      <c r="T7">
        <v>2331760</v>
      </c>
      <c r="U7">
        <f>INDEX(経験値!$C$2:$C$41,MATCH(皆!S7,経験値!$A$2:$A$41,0))+T7</f>
        <v>11831760</v>
      </c>
      <c r="V7">
        <v>32</v>
      </c>
      <c r="W7">
        <v>30791</v>
      </c>
      <c r="X7">
        <f>INDEX(経験値!$C$2:$C$41,MATCH(皆!V7,経験値!$A$2:$A$41,0))+W7</f>
        <v>3030791</v>
      </c>
      <c r="Y7">
        <v>36</v>
      </c>
      <c r="Z7">
        <v>1147793</v>
      </c>
      <c r="AA7">
        <f>INDEX(経験値!$C$2:$C$41,MATCH(皆!Y7,経験値!$A$2:$A$41,0))+Z7</f>
        <v>8647793</v>
      </c>
      <c r="AB7">
        <v>29</v>
      </c>
      <c r="AC7">
        <v>93707</v>
      </c>
      <c r="AD7">
        <f>INDEX(経験値!$C$2:$C$41,MATCH(皆!AB7,経験値!$A$2:$A$41,0))+AC7</f>
        <v>1743707</v>
      </c>
      <c r="AE7">
        <v>36</v>
      </c>
      <c r="AF7">
        <v>585917</v>
      </c>
      <c r="AG7">
        <f>INDEX(経験値!$C$2:$C$41,MATCH(皆!AE7,経験値!$A$2:$A$41,0))+AF7</f>
        <v>8085917</v>
      </c>
      <c r="AH7">
        <v>25</v>
      </c>
      <c r="AI7">
        <v>105789</v>
      </c>
      <c r="AJ7">
        <f>INDEX(経験値!$C$2:$C$41,MATCH(皆!AH7,経験値!$A$2:$A$41,0))+AI7</f>
        <v>815789</v>
      </c>
      <c r="AK7">
        <v>33</v>
      </c>
      <c r="AL7">
        <v>903735</v>
      </c>
      <c r="AM7">
        <f>INDEX(経験値!$C$2:$C$41,MATCH(皆!AK7,経験値!$A$2:$A$41,0))+AL7</f>
        <v>4653735</v>
      </c>
      <c r="AN7">
        <v>28</v>
      </c>
      <c r="AO7">
        <v>193467</v>
      </c>
      <c r="AP7">
        <f>INDEX(経験値!$C$2:$C$41,MATCH(皆!AN7,経験値!$A$2:$A$41,0))+AO7</f>
        <v>1543467</v>
      </c>
    </row>
    <row r="8" spans="1:45" x14ac:dyDescent="0.15">
      <c r="A8" s="6">
        <v>43808</v>
      </c>
      <c r="B8" s="2">
        <f t="shared" si="7"/>
        <v>38</v>
      </c>
      <c r="D8" s="2">
        <v>39</v>
      </c>
      <c r="E8">
        <v>1033915</v>
      </c>
      <c r="F8">
        <f>INDEX(経験値!$C$2:$C$41,MATCH(皆!D8,経験値!$A$2:$A$41,0))+E8</f>
        <v>16033915</v>
      </c>
      <c r="G8">
        <v>39</v>
      </c>
      <c r="H8">
        <v>1094831</v>
      </c>
      <c r="I8">
        <f>INDEX(経験値!$C$2:$C$41,MATCH(皆!G8,経験値!$A$2:$A$41,0))+H8</f>
        <v>16094831</v>
      </c>
      <c r="J8">
        <v>36</v>
      </c>
      <c r="K8">
        <v>405870</v>
      </c>
      <c r="L8">
        <f>INDEX(経験値!$C$2:$C$41,MATCH(皆!J8,経験値!$A$2:$A$41,0))+K8</f>
        <v>7905870</v>
      </c>
      <c r="M8">
        <v>33</v>
      </c>
      <c r="N8">
        <v>834555</v>
      </c>
      <c r="O8">
        <f>INDEX(経験値!$C$2:$C$41,MATCH(皆!M8,経験値!$A$2:$A$41,0))+N8</f>
        <v>4584555</v>
      </c>
      <c r="P8">
        <v>35</v>
      </c>
      <c r="Q8">
        <v>1074089</v>
      </c>
      <c r="R8">
        <f>INDEX(経験値!$C$2:$C$41,MATCH(皆!P8,経験値!$A$2:$A$41,0))+Q8</f>
        <v>7074089</v>
      </c>
      <c r="S8">
        <v>38</v>
      </c>
      <c r="T8">
        <v>24622</v>
      </c>
      <c r="U8">
        <f>INDEX(経験値!$C$2:$C$41,MATCH(皆!S8,経験値!$A$2:$A$41,0))+T8</f>
        <v>12024622</v>
      </c>
      <c r="V8">
        <v>32</v>
      </c>
      <c r="W8">
        <v>66338</v>
      </c>
      <c r="X8">
        <f>INDEX(経験値!$C$2:$C$41,MATCH(皆!V8,経験値!$A$2:$A$41,0))+W8</f>
        <v>3066338</v>
      </c>
      <c r="Y8">
        <v>36</v>
      </c>
      <c r="Z8">
        <v>1252619</v>
      </c>
      <c r="AA8">
        <f>INDEX(経験値!$C$2:$C$41,MATCH(皆!Y8,経験値!$A$2:$A$41,0))+Z8</f>
        <v>8752619</v>
      </c>
      <c r="AB8">
        <v>29</v>
      </c>
      <c r="AC8">
        <v>119397</v>
      </c>
      <c r="AD8">
        <f>INDEX(経験値!$C$2:$C$41,MATCH(皆!AB8,経験値!$A$2:$A$41,0))+AC8</f>
        <v>1769397</v>
      </c>
      <c r="AE8">
        <v>36</v>
      </c>
      <c r="AF8">
        <v>989508</v>
      </c>
      <c r="AG8">
        <f>INDEX(経験値!$C$2:$C$41,MATCH(皆!AE8,経験値!$A$2:$A$41,0))+AF8</f>
        <v>8489508</v>
      </c>
      <c r="AH8">
        <v>26</v>
      </c>
      <c r="AI8">
        <v>38774</v>
      </c>
      <c r="AJ8">
        <f>INDEX(経験値!$C$2:$C$41,MATCH(皆!AH8,経験値!$A$2:$A$41,0))+AI8</f>
        <v>938774</v>
      </c>
      <c r="AQ8">
        <v>28</v>
      </c>
      <c r="AR8">
        <v>244343</v>
      </c>
      <c r="AS8">
        <f>INDEX(経験値!$C$2:$C$41,MATCH(皆!AQ8,経験値!$A$2:$A$41,0))+AR8</f>
        <v>1594343</v>
      </c>
    </row>
    <row r="9" spans="1:45" x14ac:dyDescent="0.15">
      <c r="A9" s="6">
        <v>43785</v>
      </c>
      <c r="B9" s="2">
        <f t="shared" si="7"/>
        <v>15</v>
      </c>
    </row>
    <row r="10" spans="1:45" x14ac:dyDescent="0.15">
      <c r="A10" s="6">
        <f t="shared" ref="A10" si="8">A9+7</f>
        <v>43792</v>
      </c>
      <c r="B10" s="2">
        <f t="shared" si="7"/>
        <v>22</v>
      </c>
    </row>
    <row r="11" spans="1:45" x14ac:dyDescent="0.15">
      <c r="A11" s="6">
        <v>43786</v>
      </c>
      <c r="B11" s="2">
        <f t="shared" si="7"/>
        <v>16</v>
      </c>
    </row>
    <row r="12" spans="1:45" x14ac:dyDescent="0.15">
      <c r="A12" s="6">
        <f t="shared" ref="A12" si="9">A11+7</f>
        <v>43793</v>
      </c>
      <c r="B12" s="2">
        <f t="shared" si="7"/>
        <v>23</v>
      </c>
    </row>
    <row r="13" spans="1:45" x14ac:dyDescent="0.15">
      <c r="A13" s="6">
        <v>43787</v>
      </c>
      <c r="B13" s="2">
        <f t="shared" si="7"/>
        <v>17</v>
      </c>
    </row>
    <row r="14" spans="1:45" x14ac:dyDescent="0.15">
      <c r="A14" s="6">
        <f t="shared" ref="A14" si="10">A13+7</f>
        <v>43794</v>
      </c>
      <c r="B14" s="2">
        <f t="shared" si="7"/>
        <v>24</v>
      </c>
    </row>
    <row r="15" spans="1:45" x14ac:dyDescent="0.15">
      <c r="A15" s="6">
        <v>43788</v>
      </c>
      <c r="B15" s="2">
        <f t="shared" si="7"/>
        <v>18</v>
      </c>
    </row>
    <row r="16" spans="1:45" x14ac:dyDescent="0.15">
      <c r="A16" s="6">
        <f t="shared" ref="A16" si="11">A15+7</f>
        <v>43795</v>
      </c>
      <c r="B16" s="2">
        <f t="shared" si="7"/>
        <v>25</v>
      </c>
    </row>
    <row r="17" spans="1:42" x14ac:dyDescent="0.15">
      <c r="A17" s="6">
        <v>43789</v>
      </c>
      <c r="B17" s="2">
        <f t="shared" si="7"/>
        <v>19</v>
      </c>
    </row>
    <row r="18" spans="1:42" x14ac:dyDescent="0.15">
      <c r="A18" s="6">
        <f t="shared" ref="A18" si="12">A17+7</f>
        <v>43796</v>
      </c>
      <c r="B18" s="2">
        <f t="shared" si="7"/>
        <v>26</v>
      </c>
    </row>
    <row r="19" spans="1:42" x14ac:dyDescent="0.15">
      <c r="A19" s="6">
        <v>43790</v>
      </c>
      <c r="B19" s="2">
        <f t="shared" si="7"/>
        <v>20</v>
      </c>
    </row>
    <row r="20" spans="1:42" x14ac:dyDescent="0.15">
      <c r="A20" s="6">
        <f t="shared" ref="A20" si="13">A19+7</f>
        <v>43797</v>
      </c>
      <c r="B20" s="2">
        <f t="shared" si="7"/>
        <v>27</v>
      </c>
    </row>
    <row r="21" spans="1:42" x14ac:dyDescent="0.15">
      <c r="A21" s="6">
        <v>43791</v>
      </c>
      <c r="B21" s="2">
        <f t="shared" si="7"/>
        <v>21</v>
      </c>
    </row>
    <row r="22" spans="1:42" x14ac:dyDescent="0.15">
      <c r="A22" s="6">
        <f t="shared" ref="A22" si="14">A21+7</f>
        <v>43798</v>
      </c>
      <c r="B22" s="2">
        <f t="shared" si="7"/>
        <v>28</v>
      </c>
    </row>
    <row r="23" spans="1:42" x14ac:dyDescent="0.15">
      <c r="A23" s="6">
        <v>43792</v>
      </c>
      <c r="B23" s="2">
        <f t="shared" si="7"/>
        <v>22</v>
      </c>
    </row>
    <row r="24" spans="1:42" x14ac:dyDescent="0.15">
      <c r="A24" s="6">
        <f t="shared" ref="A24" si="15">A23+7</f>
        <v>43799</v>
      </c>
      <c r="B24" s="2">
        <f t="shared" si="7"/>
        <v>29</v>
      </c>
    </row>
    <row r="25" spans="1:42" x14ac:dyDescent="0.15">
      <c r="A25" s="6">
        <v>43793</v>
      </c>
      <c r="B25" s="2">
        <f t="shared" si="7"/>
        <v>23</v>
      </c>
    </row>
    <row r="26" spans="1:42" x14ac:dyDescent="0.15">
      <c r="A26" s="6">
        <f t="shared" ref="A26" si="16">A25+7</f>
        <v>43800</v>
      </c>
      <c r="B26" s="2">
        <f t="shared" si="7"/>
        <v>30</v>
      </c>
    </row>
    <row r="27" spans="1:42" x14ac:dyDescent="0.15">
      <c r="A27" s="6">
        <v>43794</v>
      </c>
      <c r="B27" s="2">
        <f t="shared" si="7"/>
        <v>24</v>
      </c>
    </row>
    <row r="28" spans="1:42" x14ac:dyDescent="0.15">
      <c r="A28" s="6">
        <f t="shared" ref="A28" si="17">A27+7</f>
        <v>43801</v>
      </c>
      <c r="B28" s="2">
        <f t="shared" si="7"/>
        <v>31</v>
      </c>
    </row>
    <row r="29" spans="1:42" x14ac:dyDescent="0.15">
      <c r="A29" s="6">
        <v>43795</v>
      </c>
      <c r="B29" s="2">
        <f t="shared" si="7"/>
        <v>25</v>
      </c>
    </row>
    <row r="30" spans="1:42" x14ac:dyDescent="0.15">
      <c r="C30" s="2">
        <v>40</v>
      </c>
      <c r="F30" t="str">
        <f>E2</f>
        <v>なお</v>
      </c>
      <c r="I30" t="str">
        <f t="shared" ref="I30" si="18">H2</f>
        <v>ほり</v>
      </c>
      <c r="L30" t="str">
        <f t="shared" ref="L30" si="19">K2</f>
        <v>さこん</v>
      </c>
      <c r="O30" t="str">
        <f t="shared" ref="O30" si="20">N2</f>
        <v>まみ</v>
      </c>
      <c r="R30" t="str">
        <f t="shared" ref="R30" si="21">Q2</f>
        <v>ハルカス</v>
      </c>
      <c r="U30" t="str">
        <f t="shared" ref="U30" si="22">T2</f>
        <v>すーちゃん</v>
      </c>
      <c r="X30" t="str">
        <f t="shared" ref="X30" si="23">W2</f>
        <v>すぎ</v>
      </c>
      <c r="AA30" t="str">
        <f t="shared" ref="AA30" si="24">Z2</f>
        <v>あいのすけ</v>
      </c>
      <c r="AD30" t="str">
        <f t="shared" ref="AD30" si="25">AC2</f>
        <v>なかしー</v>
      </c>
      <c r="AG30" t="str">
        <f t="shared" ref="AG30" si="26">AF2</f>
        <v>しお</v>
      </c>
      <c r="AJ30" t="str">
        <f t="shared" ref="AJ30" si="27">AI2</f>
        <v>２左</v>
      </c>
      <c r="AM30" t="str">
        <f t="shared" ref="AM30" si="28">AL2</f>
        <v>ほりえせかんど</v>
      </c>
      <c r="AP30" t="str">
        <f t="shared" ref="AP30" si="29">AO2</f>
        <v>ほりえさーど</v>
      </c>
    </row>
    <row r="31" spans="1:42" x14ac:dyDescent="0.15">
      <c r="C31">
        <f>C6</f>
        <v>20000000</v>
      </c>
      <c r="D31"/>
    </row>
    <row r="32" spans="1:42" x14ac:dyDescent="0.15">
      <c r="C32">
        <f>C7</f>
        <v>0</v>
      </c>
      <c r="D32"/>
    </row>
    <row r="33" spans="3:42" x14ac:dyDescent="0.15">
      <c r="C33">
        <f>C8</f>
        <v>0</v>
      </c>
      <c r="D33"/>
      <c r="F33">
        <f>F8-F7</f>
        <v>171749</v>
      </c>
      <c r="I33">
        <f t="shared" ref="I33" si="30">I8-I7</f>
        <v>1291692</v>
      </c>
      <c r="L33">
        <f t="shared" ref="L33" si="31">L8-L7</f>
        <v>453135</v>
      </c>
      <c r="O33">
        <f t="shared" ref="O33" si="32">O8-O7</f>
        <v>1003786</v>
      </c>
      <c r="R33">
        <f t="shared" ref="R33" si="33">R8-R7</f>
        <v>114932</v>
      </c>
      <c r="U33">
        <f t="shared" ref="U33" si="34">U8-U7</f>
        <v>192862</v>
      </c>
      <c r="X33">
        <f t="shared" ref="X33" si="35">X8-X7</f>
        <v>35547</v>
      </c>
      <c r="AA33">
        <f t="shared" ref="AA33" si="36">AA8-AA7</f>
        <v>104826</v>
      </c>
      <c r="AD33">
        <f t="shared" ref="AD33" si="37">AD8-AD7</f>
        <v>25690</v>
      </c>
      <c r="AG33">
        <f t="shared" ref="AG33" si="38">AG8-AG7</f>
        <v>403591</v>
      </c>
      <c r="AJ33">
        <f t="shared" ref="AJ33" si="39">AJ8-AJ7</f>
        <v>122985</v>
      </c>
      <c r="AM33">
        <f t="shared" ref="AM33" si="40">AM8-AM7</f>
        <v>-4653735</v>
      </c>
      <c r="AP33">
        <f t="shared" ref="AP33" si="41">AP8-AP7</f>
        <v>-1543467</v>
      </c>
    </row>
  </sheetData>
  <sortState ref="A2:C5">
    <sortCondition ref="A2"/>
  </sortState>
  <phoneticPr fontId="1"/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1"/>
  <sheetViews>
    <sheetView workbookViewId="0"/>
  </sheetViews>
  <sheetFormatPr defaultRowHeight="13.5" x14ac:dyDescent="0.15"/>
  <cols>
    <col min="1" max="3" width="17.625" customWidth="1"/>
  </cols>
  <sheetData>
    <row r="1" spans="1:3" ht="23.25" thickBot="1" x14ac:dyDescent="0.2">
      <c r="A1" s="3" t="s">
        <v>3</v>
      </c>
      <c r="B1" s="3" t="s">
        <v>4</v>
      </c>
      <c r="C1" s="3" t="s">
        <v>5</v>
      </c>
    </row>
    <row r="2" spans="1:3" ht="23.25" thickBot="1" x14ac:dyDescent="0.2">
      <c r="A2" s="3">
        <v>40</v>
      </c>
      <c r="B2" s="4">
        <v>5000000</v>
      </c>
      <c r="C2" s="4">
        <v>20000000</v>
      </c>
    </row>
    <row r="3" spans="1:3" ht="23.25" thickBot="1" x14ac:dyDescent="0.2">
      <c r="A3" s="3">
        <v>39</v>
      </c>
      <c r="B3" s="4">
        <v>3000000</v>
      </c>
      <c r="C3" s="4">
        <v>15000000</v>
      </c>
    </row>
    <row r="4" spans="1:3" ht="23.25" thickBot="1" x14ac:dyDescent="0.2">
      <c r="A4" s="3">
        <v>38</v>
      </c>
      <c r="B4" s="4">
        <v>2500000</v>
      </c>
      <c r="C4" s="4">
        <v>12000000</v>
      </c>
    </row>
    <row r="5" spans="1:3" ht="23.25" thickBot="1" x14ac:dyDescent="0.2">
      <c r="A5" s="3">
        <v>37</v>
      </c>
      <c r="B5" s="4">
        <v>2000000</v>
      </c>
      <c r="C5" s="4">
        <v>9500000</v>
      </c>
    </row>
    <row r="6" spans="1:3" ht="23.25" thickBot="1" x14ac:dyDescent="0.2">
      <c r="A6" s="3">
        <v>36</v>
      </c>
      <c r="B6" s="4">
        <v>1500000</v>
      </c>
      <c r="C6" s="4">
        <v>7500000</v>
      </c>
    </row>
    <row r="7" spans="1:3" ht="23.25" thickBot="1" x14ac:dyDescent="0.2">
      <c r="A7" s="3">
        <v>35</v>
      </c>
      <c r="B7" s="4">
        <v>1250000</v>
      </c>
      <c r="C7" s="4">
        <v>6000000</v>
      </c>
    </row>
    <row r="8" spans="1:3" ht="23.25" thickBot="1" x14ac:dyDescent="0.2">
      <c r="A8" s="3">
        <v>34</v>
      </c>
      <c r="B8" s="4">
        <v>1000000</v>
      </c>
      <c r="C8" s="4">
        <v>4750000</v>
      </c>
    </row>
    <row r="9" spans="1:3" ht="23.25" thickBot="1" x14ac:dyDescent="0.2">
      <c r="A9" s="3">
        <v>33</v>
      </c>
      <c r="B9" s="4">
        <v>750000</v>
      </c>
      <c r="C9" s="4">
        <v>3750000</v>
      </c>
    </row>
    <row r="10" spans="1:3" ht="23.25" thickBot="1" x14ac:dyDescent="0.2">
      <c r="A10" s="3">
        <v>31</v>
      </c>
      <c r="B10" s="4">
        <v>500000</v>
      </c>
      <c r="C10" s="4">
        <v>2500000</v>
      </c>
    </row>
    <row r="11" spans="1:3" ht="23.25" thickBot="1" x14ac:dyDescent="0.2">
      <c r="A11" s="3">
        <v>32</v>
      </c>
      <c r="B11" s="4">
        <v>500000</v>
      </c>
      <c r="C11" s="4">
        <v>3000000</v>
      </c>
    </row>
    <row r="12" spans="1:3" ht="23.25" thickBot="1" x14ac:dyDescent="0.2">
      <c r="A12" s="3">
        <v>30</v>
      </c>
      <c r="B12" s="4">
        <v>350000</v>
      </c>
      <c r="C12" s="4">
        <v>2000000</v>
      </c>
    </row>
    <row r="13" spans="1:3" ht="23.25" thickBot="1" x14ac:dyDescent="0.2">
      <c r="A13" s="3">
        <v>29</v>
      </c>
      <c r="B13" s="4">
        <v>300000</v>
      </c>
      <c r="C13" s="4">
        <v>1650000</v>
      </c>
    </row>
    <row r="14" spans="1:3" ht="23.25" thickBot="1" x14ac:dyDescent="0.2">
      <c r="A14" s="3">
        <v>28</v>
      </c>
      <c r="B14" s="4">
        <v>250000</v>
      </c>
      <c r="C14" s="4">
        <v>1350000</v>
      </c>
    </row>
    <row r="15" spans="1:3" ht="23.25" thickBot="1" x14ac:dyDescent="0.2">
      <c r="A15" s="3">
        <v>27</v>
      </c>
      <c r="B15" s="4">
        <v>200000</v>
      </c>
      <c r="C15" s="4">
        <v>1100000</v>
      </c>
    </row>
    <row r="16" spans="1:3" ht="23.25" thickBot="1" x14ac:dyDescent="0.2">
      <c r="A16" s="3">
        <v>26</v>
      </c>
      <c r="B16" s="4">
        <v>190000</v>
      </c>
      <c r="C16" s="4">
        <v>900000</v>
      </c>
    </row>
    <row r="17" spans="1:3" ht="23.25" thickBot="1" x14ac:dyDescent="0.2">
      <c r="A17" s="3">
        <v>25</v>
      </c>
      <c r="B17" s="4">
        <v>150000</v>
      </c>
      <c r="C17" s="4">
        <v>710000</v>
      </c>
    </row>
    <row r="18" spans="1:3" ht="23.25" thickBot="1" x14ac:dyDescent="0.2">
      <c r="A18" s="3">
        <v>24</v>
      </c>
      <c r="B18" s="4">
        <v>125000</v>
      </c>
      <c r="C18" s="4">
        <v>560000</v>
      </c>
    </row>
    <row r="19" spans="1:3" ht="23.25" thickBot="1" x14ac:dyDescent="0.2">
      <c r="A19" s="3">
        <v>23</v>
      </c>
      <c r="B19" s="4">
        <v>100000</v>
      </c>
      <c r="C19" s="4">
        <v>435000</v>
      </c>
    </row>
    <row r="20" spans="1:3" ht="23.25" thickBot="1" x14ac:dyDescent="0.2">
      <c r="A20" s="3">
        <v>22</v>
      </c>
      <c r="B20" s="4">
        <v>75000</v>
      </c>
      <c r="C20" s="4">
        <v>335000</v>
      </c>
    </row>
    <row r="21" spans="1:3" ht="23.25" thickBot="1" x14ac:dyDescent="0.2">
      <c r="A21" s="3">
        <v>21</v>
      </c>
      <c r="B21" s="4">
        <v>50000</v>
      </c>
      <c r="C21" s="4">
        <v>260000</v>
      </c>
    </row>
    <row r="22" spans="1:3" ht="23.25" thickBot="1" x14ac:dyDescent="0.2">
      <c r="A22" s="3">
        <v>19</v>
      </c>
      <c r="B22" s="4">
        <v>25000</v>
      </c>
      <c r="C22" s="4">
        <v>185000</v>
      </c>
    </row>
    <row r="23" spans="1:3" ht="23.25" thickBot="1" x14ac:dyDescent="0.2">
      <c r="A23" s="3">
        <v>20</v>
      </c>
      <c r="B23" s="4">
        <v>25000</v>
      </c>
      <c r="C23" s="4">
        <v>210000</v>
      </c>
    </row>
    <row r="24" spans="1:3" ht="23.25" thickBot="1" x14ac:dyDescent="0.2">
      <c r="A24" s="3">
        <v>16</v>
      </c>
      <c r="B24" s="4">
        <v>20000</v>
      </c>
      <c r="C24" s="4">
        <v>120000</v>
      </c>
    </row>
    <row r="25" spans="1:3" ht="23.25" thickBot="1" x14ac:dyDescent="0.2">
      <c r="A25" s="3">
        <v>17</v>
      </c>
      <c r="B25" s="4">
        <v>20000</v>
      </c>
      <c r="C25" s="4">
        <v>140000</v>
      </c>
    </row>
    <row r="26" spans="1:3" ht="23.25" thickBot="1" x14ac:dyDescent="0.2">
      <c r="A26" s="3">
        <v>18</v>
      </c>
      <c r="B26" s="4">
        <v>20000</v>
      </c>
      <c r="C26" s="4">
        <v>160000</v>
      </c>
    </row>
    <row r="27" spans="1:3" ht="23.25" thickBot="1" x14ac:dyDescent="0.2">
      <c r="A27" s="3">
        <v>15</v>
      </c>
      <c r="B27" s="4">
        <v>15000</v>
      </c>
      <c r="C27" s="4">
        <v>100000</v>
      </c>
    </row>
    <row r="28" spans="1:3" ht="23.25" thickBot="1" x14ac:dyDescent="0.2">
      <c r="A28" s="3">
        <v>11</v>
      </c>
      <c r="B28" s="4">
        <v>10000</v>
      </c>
      <c r="C28" s="4">
        <v>55000</v>
      </c>
    </row>
    <row r="29" spans="1:3" ht="23.25" thickBot="1" x14ac:dyDescent="0.2">
      <c r="A29" s="3">
        <v>12</v>
      </c>
      <c r="B29" s="4">
        <v>10000</v>
      </c>
      <c r="C29" s="4">
        <v>65000</v>
      </c>
    </row>
    <row r="30" spans="1:3" ht="23.25" thickBot="1" x14ac:dyDescent="0.2">
      <c r="A30" s="3">
        <v>13</v>
      </c>
      <c r="B30" s="4">
        <v>10000</v>
      </c>
      <c r="C30" s="4">
        <v>75000</v>
      </c>
    </row>
    <row r="31" spans="1:3" ht="23.25" thickBot="1" x14ac:dyDescent="0.2">
      <c r="A31" s="3">
        <v>14</v>
      </c>
      <c r="B31" s="4">
        <v>10000</v>
      </c>
      <c r="C31" s="4">
        <v>85000</v>
      </c>
    </row>
    <row r="32" spans="1:3" ht="23.25" thickBot="1" x14ac:dyDescent="0.2">
      <c r="A32" s="3">
        <v>10</v>
      </c>
      <c r="B32" s="4">
        <v>9000</v>
      </c>
      <c r="C32" s="4">
        <v>45000</v>
      </c>
    </row>
    <row r="33" spans="1:3" ht="23.25" thickBot="1" x14ac:dyDescent="0.2">
      <c r="A33" s="3">
        <v>9</v>
      </c>
      <c r="B33" s="4">
        <v>8000</v>
      </c>
      <c r="C33" s="4">
        <v>36000</v>
      </c>
    </row>
    <row r="34" spans="1:3" ht="23.25" thickBot="1" x14ac:dyDescent="0.2">
      <c r="A34" s="3">
        <v>8</v>
      </c>
      <c r="B34" s="4">
        <v>7000</v>
      </c>
      <c r="C34" s="4">
        <v>28000</v>
      </c>
    </row>
    <row r="35" spans="1:3" ht="23.25" thickBot="1" x14ac:dyDescent="0.2">
      <c r="A35" s="3">
        <v>7</v>
      </c>
      <c r="B35" s="4">
        <v>6000</v>
      </c>
      <c r="C35" s="4">
        <v>21000</v>
      </c>
    </row>
    <row r="36" spans="1:3" ht="23.25" thickBot="1" x14ac:dyDescent="0.2">
      <c r="A36" s="3">
        <v>6</v>
      </c>
      <c r="B36" s="4">
        <v>5000</v>
      </c>
      <c r="C36" s="4">
        <v>15000</v>
      </c>
    </row>
    <row r="37" spans="1:3" ht="23.25" thickBot="1" x14ac:dyDescent="0.2">
      <c r="A37" s="3">
        <v>5</v>
      </c>
      <c r="B37" s="4">
        <v>4000</v>
      </c>
      <c r="C37" s="4">
        <v>10000</v>
      </c>
    </row>
    <row r="38" spans="1:3" ht="23.25" thickBot="1" x14ac:dyDescent="0.2">
      <c r="A38" s="3">
        <v>4</v>
      </c>
      <c r="B38" s="4">
        <v>3000</v>
      </c>
      <c r="C38" s="4">
        <v>6000</v>
      </c>
    </row>
    <row r="39" spans="1:3" ht="23.25" thickBot="1" x14ac:dyDescent="0.2">
      <c r="A39" s="3">
        <v>3</v>
      </c>
      <c r="B39" s="4">
        <v>2000</v>
      </c>
      <c r="C39" s="4">
        <v>3000</v>
      </c>
    </row>
    <row r="40" spans="1:3" ht="23.25" thickBot="1" x14ac:dyDescent="0.2">
      <c r="A40" s="3">
        <v>2</v>
      </c>
      <c r="B40" s="4">
        <v>1000</v>
      </c>
      <c r="C40" s="4">
        <v>1000</v>
      </c>
    </row>
    <row r="41" spans="1:3" ht="23.25" thickBot="1" x14ac:dyDescent="0.2">
      <c r="A41" s="5">
        <v>1</v>
      </c>
      <c r="B41" s="31">
        <v>0</v>
      </c>
      <c r="C41" s="31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database</vt:lpstr>
      <vt:lpstr>S</vt:lpstr>
      <vt:lpstr>H</vt:lpstr>
      <vt:lpstr>M</vt:lpstr>
      <vt:lpstr>S_ana</vt:lpstr>
      <vt:lpstr>H_ana</vt:lpstr>
      <vt:lpstr>M_ana</vt:lpstr>
      <vt:lpstr>S相性表</vt:lpstr>
      <vt:lpstr>Hおすすめ</vt:lpstr>
      <vt:lpstr>皆</vt:lpstr>
      <vt:lpstr>経験値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yuki</dc:creator>
  <cp:lastModifiedBy>yuki</cp:lastModifiedBy>
  <dcterms:created xsi:type="dcterms:W3CDTF">2019-11-14T12:38:53Z</dcterms:created>
  <dcterms:modified xsi:type="dcterms:W3CDTF">2020-02-14T14:38:49Z</dcterms:modified>
</cp:coreProperties>
</file>